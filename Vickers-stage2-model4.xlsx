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laivickers/Desktop/"/>
    </mc:Choice>
  </mc:AlternateContent>
  <xr:revisionPtr revIDLastSave="0" documentId="13_ncr:1_{2EFA4F3E-7C86-E549-8377-71423293DD56}" xr6:coauthVersionLast="47" xr6:coauthVersionMax="47" xr10:uidLastSave="{00000000-0000-0000-0000-000000000000}"/>
  <bookViews>
    <workbookView xWindow="14580" yWindow="760" windowWidth="19980" windowHeight="20180" activeTab="3" xr2:uid="{4E003E87-490A-4B41-B27B-59CE5DEAFF18}"/>
  </bookViews>
  <sheets>
    <sheet name="Inputs" sheetId="1" r:id="rId1"/>
    <sheet name="Calculations" sheetId="2" r:id="rId2"/>
    <sheet name="Sensitivity" sheetId="3" r:id="rId3"/>
    <sheet name="Outputs" sheetId="4" r:id="rId4"/>
  </sheets>
  <definedNames>
    <definedName name="F0_in">Inputs!$B$3</definedName>
    <definedName name="FC_AMT">Inputs!$B$1</definedName>
    <definedName name="Forward_USD">Calculations!$C$3</definedName>
    <definedName name="K_CALL">Inputs!$B$8</definedName>
    <definedName name="K_PUT">Inputs!$B$6</definedName>
    <definedName name="Parity_Diff">Calculations!$C$7</definedName>
    <definedName name="PREM_CALL">Inputs!$B$9</definedName>
    <definedName name="PREM_PUT">Inputs!$B$7</definedName>
    <definedName name="PV_FC">Calculations!$C$4</definedName>
    <definedName name="R_FC">Inputs!$B$5</definedName>
    <definedName name="R_USD">Inputs!$B$4</definedName>
    <definedName name="S0_in">Inputs!$B$2</definedName>
    <definedName name="T_DAYS">Inputs!$B$10</definedName>
    <definedName name="T_yrs">Calculations!$C$2</definedName>
    <definedName name="USD_mm_proceeds">Calculations!$C$6</definedName>
    <definedName name="USD_now">Calculations!$C$5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3" l="1"/>
  <c r="A5" i="3"/>
  <c r="A6" i="3" s="1"/>
  <c r="A7" i="3" s="1"/>
  <c r="A8" i="3" s="1"/>
  <c r="A9" i="3" s="1"/>
  <c r="A10" i="3" s="1"/>
  <c r="A3" i="3"/>
  <c r="B3" i="3" a="1"/>
  <c r="B3" i="3" s="1"/>
  <c r="E3" i="3"/>
  <c r="D3" i="3"/>
  <c r="D4" i="3"/>
  <c r="D5" i="3"/>
  <c r="D6" i="3"/>
  <c r="D7" i="3"/>
  <c r="D8" i="3"/>
  <c r="D9" i="3"/>
  <c r="D10" i="3"/>
  <c r="D2" i="3"/>
  <c r="E2" i="3"/>
  <c r="C2" i="3"/>
  <c r="B2" i="3" a="1"/>
  <c r="B2" i="3" s="1"/>
  <c r="C7" i="2" a="1"/>
  <c r="C7" i="2" s="1"/>
  <c r="C3" i="2"/>
  <c r="C2" i="2"/>
  <c r="F3" i="3" a="1"/>
  <c r="F3" i="3" s="1"/>
  <c r="C3" i="3" a="1"/>
  <c r="C3" i="3" s="1"/>
  <c r="C4" i="3" a="1"/>
  <c r="C4" i="3"/>
  <c r="C5" i="3" a="1"/>
  <c r="C5" i="3" s="1"/>
  <c r="C6" i="3" a="1"/>
  <c r="C6" i="3" s="1"/>
  <c r="C7" i="3" a="1"/>
  <c r="C7" i="3" s="1"/>
  <c r="C8" i="3" a="1"/>
  <c r="C8" i="3" s="1"/>
  <c r="C9" i="3" a="1"/>
  <c r="C9" i="3"/>
  <c r="C10" i="3" a="1"/>
  <c r="C10" i="3"/>
  <c r="C4" i="2"/>
  <c r="C5" i="2" s="1"/>
  <c r="C6" i="2" s="1"/>
  <c r="B8" i="4"/>
  <c r="B7" i="4"/>
  <c r="A2" i="3" a="1"/>
  <c r="A2" i="3" s="1"/>
  <c r="F2" i="3" s="1" a="1"/>
  <c r="F2" i="3" s="1"/>
  <c r="B2" i="4"/>
  <c r="B3" i="4" l="1"/>
  <c r="E4" i="3" l="1"/>
  <c r="F4" i="3" a="1"/>
  <c r="F4" i="3" s="1"/>
  <c r="B4" i="3" a="1"/>
  <c r="B4" i="3" s="1"/>
  <c r="B4" i="4"/>
  <c r="F5" i="3" l="1" a="1"/>
  <c r="F5" i="3" s="1"/>
  <c r="B5" i="3" a="1"/>
  <c r="B5" i="3" s="1"/>
  <c r="E5" i="3"/>
  <c r="B6" i="3" l="1" a="1"/>
  <c r="B6" i="3" s="1"/>
  <c r="E6" i="3"/>
  <c r="F6" i="3" a="1"/>
  <c r="F6" i="3" s="1"/>
  <c r="F7" i="3" l="1" a="1"/>
  <c r="F7" i="3" s="1"/>
  <c r="B7" i="3" a="1"/>
  <c r="B7" i="3" s="1"/>
  <c r="E7" i="3"/>
  <c r="B8" i="3" l="1" a="1"/>
  <c r="B8" i="3" s="1"/>
  <c r="F8" i="3" a="1"/>
  <c r="F8" i="3" s="1"/>
  <c r="E8" i="3"/>
  <c r="E9" i="3" l="1"/>
  <c r="F9" i="3" a="1"/>
  <c r="F9" i="3" s="1"/>
  <c r="B9" i="3" a="1"/>
  <c r="B9" i="3" s="1"/>
  <c r="F10" i="3" l="1" a="1"/>
  <c r="F10" i="3" s="1"/>
  <c r="B10" i="3" a="1"/>
  <c r="B10" i="3" s="1"/>
  <c r="E10" i="3"/>
  <c r="B6" i="4" l="1"/>
  <c r="B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<sst xmlns="http://schemas.openxmlformats.org/spreadsheetml/2006/main" count="36" uniqueCount="36">
  <si>
    <t>FC_AMT</t>
  </si>
  <si>
    <t>S0_in</t>
  </si>
  <si>
    <t>F0_in</t>
  </si>
  <si>
    <t>R_USD</t>
  </si>
  <si>
    <t>R_FC</t>
  </si>
  <si>
    <t>K_PUT</t>
  </si>
  <si>
    <t>PREM_PUT</t>
  </si>
  <si>
    <t>K_CALL</t>
  </si>
  <si>
    <t>PREM_CALL</t>
  </si>
  <si>
    <t>T_DAYS</t>
  </si>
  <si>
    <t>T_yrs</t>
  </si>
  <si>
    <t>Forward_USD</t>
  </si>
  <si>
    <t>PV_FC</t>
  </si>
  <si>
    <t>USD_now</t>
  </si>
  <si>
    <t>USD_mm_proceeds</t>
  </si>
  <si>
    <t>Parity_Diff</t>
  </si>
  <si>
    <t>S_T</t>
  </si>
  <si>
    <t>NoHedge</t>
  </si>
  <si>
    <t>Forward</t>
  </si>
  <si>
    <t>MoneyMarket</t>
  </si>
  <si>
    <t>PutNet</t>
  </si>
  <si>
    <t>CallNet</t>
  </si>
  <si>
    <t>Metric</t>
  </si>
  <si>
    <t>Value</t>
  </si>
  <si>
    <t>Forward USD</t>
  </si>
  <si>
    <t>Money Market USD</t>
  </si>
  <si>
    <t>Parity difference</t>
  </si>
  <si>
    <t>Unhedged min (USD)</t>
  </si>
  <si>
    <t>Unhedged max (USD)</t>
  </si>
  <si>
    <t>Worst case with put (USD)</t>
  </si>
  <si>
    <t>Option premium total (PUT)</t>
  </si>
  <si>
    <t xml:space="preserve">Assumptions/Sources </t>
  </si>
  <si>
    <t>Spot: Yahoo Finance EURUSD, 2026-04-10</t>
  </si>
  <si>
    <t>Forward: course scenario 1.0890a</t>
  </si>
  <si>
    <t>USD rate: U.S. Treasury 1yr, 2026-04-10</t>
  </si>
  <si>
    <t>EUR rate: 12m Euribor, 2026-04-10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</si>
</sst>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4" borderId="0" xfId="0" applyFill="1"/>
    <xf numFmtId="0" fontId="3" fillId="0" borderId="0" xfId="0" applyFont="1"/>
    <xf numFmtId="0" fontId="2" fillId="3" borderId="0" xfId="0" applyFont="1" applyFill="1"/>
    <xf numFmtId="44" fontId="0" fillId="3" borderId="0" xfId="0" applyNumberFormat="1" applyFill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7228-2D88-3F4C-8DFB-9614C5F68723}">
  <dimension ref="A1:B10"/>
  <sheetViews>
    <sheetView workbookViewId="0">
      <selection activeCell="B2" sqref="B2"/>
    </sheetView>
  </sheetViews>
  <sheetFormatPr baseColWidth="10" defaultRowHeight="16" x14ac:dyDescent="0.2"/>
  <sheetData>
    <row r="1" spans="1:2" x14ac:dyDescent="0.2">
      <c r="A1" s="1" t="s">
        <v>0</v>
      </c>
      <c r="B1" s="1">
        <v>8000000</v>
      </c>
    </row>
    <row r="2" spans="1:2" x14ac:dyDescent="0.2">
      <c r="A2" s="1" t="s">
        <v>1</v>
      </c>
      <c r="B2" s="1">
        <v>1.1725000000000001</v>
      </c>
    </row>
    <row r="3" spans="1:2" x14ac:dyDescent="0.2">
      <c r="A3" s="1" t="s">
        <v>2</v>
      </c>
      <c r="B3" s="1">
        <v>1.089</v>
      </c>
    </row>
    <row r="4" spans="1:2" x14ac:dyDescent="0.2">
      <c r="A4" s="1" t="s">
        <v>3</v>
      </c>
      <c r="B4" s="1">
        <v>3.6799999999999999E-2</v>
      </c>
    </row>
    <row r="5" spans="1:2" ht="17" x14ac:dyDescent="0.25">
      <c r="A5" s="1" t="s">
        <v>4</v>
      </c>
      <c r="B5" s="2">
        <v>2.87E-2</v>
      </c>
    </row>
    <row r="6" spans="1:2" x14ac:dyDescent="0.2">
      <c r="A6" s="1" t="s">
        <v>5</v>
      </c>
      <c r="B6" s="1">
        <v>1.089</v>
      </c>
    </row>
    <row r="7" spans="1:2" x14ac:dyDescent="0.2">
      <c r="A7" s="1" t="s">
        <v>6</v>
      </c>
      <c r="B7" s="1">
        <v>0.02</v>
      </c>
    </row>
    <row r="8" spans="1:2" x14ac:dyDescent="0.2">
      <c r="A8" s="1" t="s">
        <v>7</v>
      </c>
      <c r="B8" s="1">
        <v>1.089</v>
      </c>
    </row>
    <row r="9" spans="1:2" x14ac:dyDescent="0.2">
      <c r="A9" s="1" t="s">
        <v>8</v>
      </c>
      <c r="B9" s="1">
        <v>0.02</v>
      </c>
    </row>
    <row r="10" spans="1:2" x14ac:dyDescent="0.2">
      <c r="A10" s="1" t="s">
        <v>9</v>
      </c>
      <c r="B10" s="1">
        <v>365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E6569-48D4-0B4E-83B9-F20EA7EB3890}">
  <dimension ref="B2:C7"/>
  <sheetViews>
    <sheetView workbookViewId="0">
      <selection activeCell="C7" sqref="C7"/>
    </sheetView>
  </sheetViews>
  <sheetFormatPr baseColWidth="10" defaultRowHeight="16" x14ac:dyDescent="0.2"/>
  <cols>
    <col min="2" max="2" width="17" bestFit="1" customWidth="1"/>
  </cols>
  <sheetData>
    <row r="2" spans="2:3" x14ac:dyDescent="0.2">
      <c r="B2" s="3" t="s">
        <v>10</v>
      </c>
      <c r="C2" s="3">
        <f xml:space="preserve"> T_DAYS / 365</f>
        <v>1</v>
      </c>
    </row>
    <row r="3" spans="2:3" x14ac:dyDescent="0.2">
      <c r="B3" s="3" t="s">
        <v>11</v>
      </c>
      <c r="C3" s="3">
        <f xml:space="preserve"> FC_AMT * F0_in</f>
        <v>8712000</v>
      </c>
    </row>
    <row r="4" spans="2:3" x14ac:dyDescent="0.2">
      <c r="B4" s="3" t="s">
        <v>12</v>
      </c>
      <c r="C4" s="3">
        <f xml:space="preserve"> FC_AMT / (1 + R_FC)</f>
        <v>7776805.677068145</v>
      </c>
    </row>
    <row r="5" spans="2:3" x14ac:dyDescent="0.2">
      <c r="B5" s="3" t="s">
        <v>13</v>
      </c>
      <c r="C5" s="3">
        <f xml:space="preserve"> PV_FC * S0_in</f>
        <v>9118304.6563624013</v>
      </c>
    </row>
    <row r="6" spans="2:3" x14ac:dyDescent="0.2">
      <c r="B6" s="3" t="s">
        <v>14</v>
      </c>
      <c r="C6" s="3">
        <f>USD_now * (1 + R_USD)</f>
        <v>9453858.2677165363</v>
      </c>
    </row>
    <row r="7" spans="2:3" x14ac:dyDescent="0.2">
      <c r="B7" s="3" t="s">
        <v>15</v>
      </c>
      <c r="C7" s="3" cm="1">
        <f t="array" ref="C7" xml:space="preserve"> ABS(USD_mm_proceeds - Forward_USD)</f>
        <v>741858.2677165363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5012-D811-4C4A-B425-051002E06023}">
  <dimension ref="A1:F10"/>
  <sheetViews>
    <sheetView workbookViewId="0">
      <selection activeCell="C32" sqref="C32"/>
    </sheetView>
  </sheetViews>
  <sheetFormatPr baseColWidth="10" defaultRowHeight="16" x14ac:dyDescent="0.2"/>
  <cols>
    <col min="4" max="4" width="12.1640625" bestFit="1" customWidth="1"/>
  </cols>
  <sheetData>
    <row r="1" spans="1:6" x14ac:dyDescent="0.2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</row>
    <row r="2" spans="1:6" x14ac:dyDescent="0.2">
      <c r="A2" cm="1">
        <f t="array" ref="A2" xml:space="preserve"> S0_in*0.95</f>
        <v>1.1138749999999999</v>
      </c>
      <c r="B2" cm="1">
        <f t="array" ref="B2" xml:space="preserve"> FC_AMT * A2</f>
        <v>8911000</v>
      </c>
      <c r="C2">
        <f xml:space="preserve"> FC_AMT * F0_in</f>
        <v>8712000</v>
      </c>
      <c r="D2">
        <f xml:space="preserve"> Calculations!$C$6</f>
        <v>9453858.2677165363</v>
      </c>
      <c r="E2">
        <f t="shared" ref="E2:E10" si="0" xml:space="preserve"> FC_AMT * MAX(A2, K_PUT) - PREM_PUT * FC_AMT</f>
        <v>8751000</v>
      </c>
      <c r="F2" cm="1">
        <f t="array" ref="F2" xml:space="preserve"> FC_AMT * MAX(A2, K_CALL) - PREM_CALL * FC_AMT</f>
        <v>8751000</v>
      </c>
    </row>
    <row r="3" spans="1:6" x14ac:dyDescent="0.2">
      <c r="A3">
        <f xml:space="preserve"> $A2 * 1.01</f>
        <v>1.1250137499999999</v>
      </c>
      <c r="B3" cm="1">
        <f t="array" ref="B3" xml:space="preserve"> FC_AMT * A3</f>
        <v>9000110</v>
      </c>
      <c r="C3" cm="1">
        <f t="array" ref="C3" xml:space="preserve"> FC_AMT * F0_in</f>
        <v>8712000</v>
      </c>
      <c r="D3">
        <f xml:space="preserve"> Calculations!$C$6</f>
        <v>9453858.2677165363</v>
      </c>
      <c r="E3">
        <f t="shared" si="0"/>
        <v>8840110</v>
      </c>
      <c r="F3" cm="1">
        <f t="array" ref="F3" xml:space="preserve"> FC_AMT * MAX(A3, K_CALL) - PREM_CALL * FC_AMT</f>
        <v>8840110</v>
      </c>
    </row>
    <row r="4" spans="1:6" x14ac:dyDescent="0.2">
      <c r="A4">
        <f t="shared" ref="A4:A10" si="1" xml:space="preserve"> $A3 * 1.01</f>
        <v>1.1362638875</v>
      </c>
      <c r="B4" cm="1">
        <f t="array" ref="B4" xml:space="preserve"> FC_AMT * A4</f>
        <v>9090111.0999999996</v>
      </c>
      <c r="C4" cm="1">
        <f t="array" ref="C4" xml:space="preserve"> FC_AMT * F0_in</f>
        <v>8712000</v>
      </c>
      <c r="D4">
        <f xml:space="preserve"> Calculations!$C$6</f>
        <v>9453858.2677165363</v>
      </c>
      <c r="E4">
        <f t="shared" si="0"/>
        <v>8930111.0999999996</v>
      </c>
      <c r="F4" cm="1">
        <f t="array" ref="F4" xml:space="preserve"> FC_AMT * MAX(A4, K_CALL) - PREM_CALL * FC_AMT</f>
        <v>8930111.0999999996</v>
      </c>
    </row>
    <row r="5" spans="1:6" x14ac:dyDescent="0.2">
      <c r="A5">
        <f t="shared" si="1"/>
        <v>1.1476265263750001</v>
      </c>
      <c r="B5" cm="1">
        <f t="array" ref="B5" xml:space="preserve"> FC_AMT * A5</f>
        <v>9181012.2110000011</v>
      </c>
      <c r="C5" cm="1">
        <f t="array" ref="C5" xml:space="preserve"> FC_AMT * F0_in</f>
        <v>8712000</v>
      </c>
      <c r="D5">
        <f xml:space="preserve"> Calculations!$C$6</f>
        <v>9453858.2677165363</v>
      </c>
      <c r="E5">
        <f t="shared" si="0"/>
        <v>9021012.2110000011</v>
      </c>
      <c r="F5" cm="1">
        <f t="array" ref="F5" xml:space="preserve"> FC_AMT * MAX(A5, K_CALL) - PREM_CALL * FC_AMT</f>
        <v>9021012.2110000011</v>
      </c>
    </row>
    <row r="6" spans="1:6" x14ac:dyDescent="0.2">
      <c r="A6">
        <f t="shared" si="1"/>
        <v>1.1591027916387502</v>
      </c>
      <c r="B6" cm="1">
        <f t="array" ref="B6" xml:space="preserve"> FC_AMT * A6</f>
        <v>9272822.3331100009</v>
      </c>
      <c r="C6" cm="1">
        <f t="array" ref="C6" xml:space="preserve"> FC_AMT * F0_in</f>
        <v>8712000</v>
      </c>
      <c r="D6">
        <f xml:space="preserve"> Calculations!$C$6</f>
        <v>9453858.2677165363</v>
      </c>
      <c r="E6">
        <f t="shared" si="0"/>
        <v>9112822.3331100009</v>
      </c>
      <c r="F6" cm="1">
        <f t="array" ref="F6" xml:space="preserve"> FC_AMT * MAX(A6, K_CALL) - PREM_CALL * FC_AMT</f>
        <v>9112822.3331100009</v>
      </c>
    </row>
    <row r="7" spans="1:6" x14ac:dyDescent="0.2">
      <c r="A7">
        <f t="shared" si="1"/>
        <v>1.1706938195551377</v>
      </c>
      <c r="B7" cm="1">
        <f t="array" ref="B7" xml:space="preserve"> FC_AMT * A7</f>
        <v>9365550.5564411022</v>
      </c>
      <c r="C7" cm="1">
        <f t="array" ref="C7" xml:space="preserve"> FC_AMT * F0_in</f>
        <v>8712000</v>
      </c>
      <c r="D7">
        <f xml:space="preserve"> Calculations!$C$6</f>
        <v>9453858.2677165363</v>
      </c>
      <c r="E7">
        <f t="shared" si="0"/>
        <v>9205550.5564411022</v>
      </c>
      <c r="F7" cm="1">
        <f t="array" ref="F7" xml:space="preserve"> FC_AMT * MAX(A7, K_CALL) - PREM_CALL * FC_AMT</f>
        <v>9205550.5564411022</v>
      </c>
    </row>
    <row r="8" spans="1:6" x14ac:dyDescent="0.2">
      <c r="A8">
        <f t="shared" si="1"/>
        <v>1.1824007577506892</v>
      </c>
      <c r="B8" cm="1">
        <f t="array" ref="B8" xml:space="preserve"> FC_AMT * A8</f>
        <v>9459206.0620055143</v>
      </c>
      <c r="C8" cm="1">
        <f t="array" ref="C8" xml:space="preserve"> FC_AMT * F0_in</f>
        <v>8712000</v>
      </c>
      <c r="D8">
        <f xml:space="preserve"> Calculations!$C$6</f>
        <v>9453858.2677165363</v>
      </c>
      <c r="E8">
        <f t="shared" si="0"/>
        <v>9299206.0620055143</v>
      </c>
      <c r="F8" cm="1">
        <f t="array" ref="F8" xml:space="preserve"> FC_AMT * MAX(A8, K_CALL) - PREM_CALL * FC_AMT</f>
        <v>9299206.0620055143</v>
      </c>
    </row>
    <row r="9" spans="1:6" x14ac:dyDescent="0.2">
      <c r="A9">
        <f t="shared" si="1"/>
        <v>1.1942247653281961</v>
      </c>
      <c r="B9" cm="1">
        <f t="array" ref="B9" xml:space="preserve"> FC_AMT * A9</f>
        <v>9553798.1226255689</v>
      </c>
      <c r="C9" cm="1">
        <f t="array" ref="C9" xml:space="preserve"> FC_AMT * F0_in</f>
        <v>8712000</v>
      </c>
      <c r="D9">
        <f xml:space="preserve"> Calculations!$C$6</f>
        <v>9453858.2677165363</v>
      </c>
      <c r="E9">
        <f t="shared" si="0"/>
        <v>9393798.1226255689</v>
      </c>
      <c r="F9" cm="1">
        <f t="array" ref="F9" xml:space="preserve"> FC_AMT * MAX(A9, K_CALL) - PREM_CALL * FC_AMT</f>
        <v>9393798.1226255689</v>
      </c>
    </row>
    <row r="10" spans="1:6" x14ac:dyDescent="0.2">
      <c r="A10">
        <f t="shared" si="1"/>
        <v>1.2061670129814781</v>
      </c>
      <c r="B10" cm="1">
        <f t="array" ref="B10" xml:space="preserve"> FC_AMT * A10</f>
        <v>9649336.103851825</v>
      </c>
      <c r="C10" cm="1">
        <f t="array" ref="C10" xml:space="preserve"> FC_AMT * F0_in</f>
        <v>8712000</v>
      </c>
      <c r="D10">
        <f xml:space="preserve"> Calculations!$C$6</f>
        <v>9453858.2677165363</v>
      </c>
      <c r="E10">
        <f t="shared" si="0"/>
        <v>9489336.103851825</v>
      </c>
      <c r="F10" cm="1">
        <f t="array" ref="F10" xml:space="preserve"> FC_AMT * MAX(A10, K_CALL) - PREM_CALL * FC_AMT</f>
        <v>9489336.103851825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22E0-C4B7-7541-BD1C-8B29F8283B20}">
  <dimension ref="A1:B13"/>
  <sheetViews>
    <sheetView tabSelected="1" workbookViewId="0">
      <selection activeCell="D25" sqref="D25"/>
    </sheetView>
  </sheetViews>
  <sheetFormatPr baseColWidth="10" defaultRowHeight="16" x14ac:dyDescent="0.2"/>
  <cols>
    <col min="1" max="1" width="23.33203125" bestFit="1" customWidth="1"/>
    <col min="2" max="2" width="14" bestFit="1" customWidth="1"/>
  </cols>
  <sheetData>
    <row r="1" spans="1:2" x14ac:dyDescent="0.2">
      <c r="A1" s="4" t="s">
        <v>22</v>
      </c>
      <c r="B1" s="4" t="s">
        <v>23</v>
      </c>
    </row>
    <row r="2" spans="1:2" x14ac:dyDescent="0.2">
      <c r="A2" t="s">
        <v>24</v>
      </c>
      <c r="B2" s="6">
        <f>Calculations!C3</f>
        <v>8712000</v>
      </c>
    </row>
    <row r="3" spans="1:2" x14ac:dyDescent="0.2">
      <c r="A3" t="s">
        <v>25</v>
      </c>
      <c r="B3" s="6">
        <f>Calculations!C6</f>
        <v>9453858.2677165363</v>
      </c>
    </row>
    <row r="4" spans="1:2" x14ac:dyDescent="0.2">
      <c r="A4" t="s">
        <v>26</v>
      </c>
      <c r="B4" s="6">
        <f>Calculations!C7</f>
        <v>741858.2677165363</v>
      </c>
    </row>
    <row r="5" spans="1:2" x14ac:dyDescent="0.2">
      <c r="A5" t="s">
        <v>27</v>
      </c>
      <c r="B5" s="6">
        <f>MIN(Sensitivity!B2:B12)</f>
        <v>8911000</v>
      </c>
    </row>
    <row r="6" spans="1:2" x14ac:dyDescent="0.2">
      <c r="A6" t="s">
        <v>28</v>
      </c>
      <c r="B6" s="6">
        <f>MAX(Sensitivity!B2:B12)</f>
        <v>9649336.103851825</v>
      </c>
    </row>
    <row r="7" spans="1:2" x14ac:dyDescent="0.2">
      <c r="A7" t="s">
        <v>29</v>
      </c>
      <c r="B7" s="6">
        <f xml:space="preserve"> FC_AMT * K_PUT - PREM_PUT * FC_AMT</f>
        <v>8552000</v>
      </c>
    </row>
    <row r="8" spans="1:2" x14ac:dyDescent="0.2">
      <c r="A8" t="s">
        <v>30</v>
      </c>
      <c r="B8" s="7">
        <f xml:space="preserve"> PREM_PUT * FC_AMT</f>
        <v>160000</v>
      </c>
    </row>
    <row r="9" spans="1:2" x14ac:dyDescent="0.2">
      <c r="A9" s="5" t="s">
        <v>31</v>
      </c>
    </row>
    <row r="10" spans="1:2" x14ac:dyDescent="0.2">
      <c r="A10" t="s">
        <v>32</v>
      </c>
    </row>
    <row r="11" spans="1:2" x14ac:dyDescent="0.2">
      <c r="A11" t="s">
        <v>33</v>
      </c>
    </row>
    <row r="12" spans="1:2" x14ac:dyDescent="0.2">
      <c r="A12" t="s">
        <v>34</v>
      </c>
    </row>
    <row r="13" spans="1:2" x14ac:dyDescent="0.2">
      <c r="A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Inputs</vt:lpstr>
      <vt:lpstr>Calculations</vt:lpstr>
      <vt:lpstr>Sensitivity</vt:lpstr>
      <vt:lpstr>Outputs</vt:lpstr>
      <vt:lpstr>F0_in</vt:lpstr>
      <vt:lpstr>FC_AMT</vt:lpstr>
      <vt:lpstr>Forward_USD</vt:lpstr>
      <vt:lpstr>K_CALL</vt:lpstr>
      <vt:lpstr>K_PUT</vt:lpstr>
      <vt:lpstr>Parity_Diff</vt:lpstr>
      <vt:lpstr>PREM_CALL</vt:lpstr>
      <vt:lpstr>PREM_PUT</vt:lpstr>
      <vt:lpstr>PV_FC</vt:lpstr>
      <vt:lpstr>R_FC</vt:lpstr>
      <vt:lpstr>R_USD</vt:lpstr>
      <vt:lpstr>S0_in</vt:lpstr>
      <vt:lpstr>T_DAYS</vt:lpstr>
      <vt:lpstr>T_yrs</vt:lpstr>
      <vt:lpstr>USD_mm_proceeds</vt:lpstr>
      <vt:lpstr>USD_now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Kala'i Vickers</dc:creator>
  <cp:lastModifiedBy>Kala'i Vickers</cp:lastModifiedBy>
  <dcterms:created xsi:type="dcterms:W3CDTF">2026-04-10T22:24:36Z</dcterms:created>
  <dcterms:modified xsi:type="dcterms:W3CDTF">2026-04-11T02:35:40Z</dcterms:modified>
</cp:coreProperties>
</file>