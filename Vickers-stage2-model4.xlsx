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laivickers/Desktop/"/>
    </mc:Choice>
  </mc:AlternateContent>
  <xr:revisionPtr revIDLastSave="0" documentId="13_ncr:1_{3806270D-9931-C74F-9CC5-6ABDD012F583}" xr6:coauthVersionLast="47" xr6:coauthVersionMax="47" xr10:uidLastSave="{00000000-0000-0000-0000-000000000000}"/>
  <bookViews>
    <workbookView xWindow="13600" yWindow="760" windowWidth="20960" windowHeight="20180" activeTab="5" xr2:uid="{4E003E87-490A-4B41-B27B-59CE5DEAFF18}"/>
  </bookViews>
  <sheets>
    <sheet name="Inputs" sheetId="1" r:id="rId1"/>
    <sheet name="Calculations" sheetId="2" r:id="rId2"/>
    <sheet name="Sensitivity" sheetId="3" r:id="rId3"/>
    <sheet name="Outputs" sheetId="4" r:id="rId4"/>
    <sheet name="Payables" sheetId="5" r:id="rId5"/>
    <sheet name="Recievables" sheetId="6" r:id="rId6"/>
  </sheets>
  <definedNames>
    <definedName name="call_price">Recievables!$F$15</definedName>
    <definedName name="call_strike">Recievables!$F$14</definedName>
    <definedName name="contract_notional_value_payable">Recievables!$F$6</definedName>
    <definedName name="current_spot_price_payable">Recievables!$F$7</definedName>
    <definedName name="F0_in">Inputs!$B$3</definedName>
    <definedName name="FC_AMT">Inputs!$B$1</definedName>
    <definedName name="for_GBPUSD">Payables!$F$12</definedName>
    <definedName name="forward_price_payable">Recievables!$F$12</definedName>
    <definedName name="Forward_USD">Calculations!$C$3</definedName>
    <definedName name="future_spot_price_payable">Recievables!$C$35:$C$47</definedName>
    <definedName name="fv_put_outlay">Payables!$F$28</definedName>
    <definedName name="gbpusd_1y_scenario">Payables!$C$33:$C$45</definedName>
    <definedName name="hedge_no">Payables!$D$33:$D$45</definedName>
    <definedName name="K_CALL">Inputs!$B$8</definedName>
    <definedName name="K_PUT">Inputs!$B$6</definedName>
    <definedName name="Parity_Diff">Calculations!$C$7</definedName>
    <definedName name="PREM_CALL">Inputs!$B$9</definedName>
    <definedName name="PREM_PUT">Inputs!$B$7</definedName>
    <definedName name="put_price">Payables!$F$15</definedName>
    <definedName name="PV_FC">Calculations!$C$4</definedName>
    <definedName name="R_FC">Inputs!$B$5</definedName>
    <definedName name="R_USD">Inputs!$B$4</definedName>
    <definedName name="rate_uk_1y_payable">Recievables!$F$10</definedName>
    <definedName name="rate_us_1y_payable">Recievables!$F$9</definedName>
    <definedName name="recievable">Payables!$F$6</definedName>
    <definedName name="S0_in">Inputs!$B$2</definedName>
    <definedName name="T_DAYS">Inputs!$B$10</definedName>
    <definedName name="T_yrs">Calculations!$C$2</definedName>
    <definedName name="USD_mm_proceeds">Calculations!$C$6</definedName>
    <definedName name="USD_now">Calculations!$C$5</definedName>
    <definedName name="x_put">Payables!$F$14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5" i="5" l="1"/>
  <c r="C41" i="6"/>
  <c r="F29" i="6"/>
  <c r="F30" i="6" s="1"/>
  <c r="F21" i="6"/>
  <c r="F22" i="6" s="1"/>
  <c r="F18" i="6"/>
  <c r="C41" i="5"/>
  <c r="H40" i="5"/>
  <c r="D40" i="5"/>
  <c r="C40" i="5"/>
  <c r="H39" i="5"/>
  <c r="D39" i="5"/>
  <c r="C38" i="5"/>
  <c r="C37" i="5"/>
  <c r="C36" i="5"/>
  <c r="C35" i="5"/>
  <c r="C34" i="5"/>
  <c r="G27" i="5"/>
  <c r="F27" i="5"/>
  <c r="F28" i="5" s="1"/>
  <c r="F21" i="5"/>
  <c r="F22" i="5" s="1"/>
  <c r="F23" i="5" s="1"/>
  <c r="F24" i="5" s="1"/>
  <c r="F18" i="5"/>
  <c r="F12" i="3" a="1"/>
  <c r="F12" i="3" s="1"/>
  <c r="E12" i="3"/>
  <c r="D12" i="3"/>
  <c r="C12" i="3"/>
  <c r="B12" i="3" a="1"/>
  <c r="B12" i="3"/>
  <c r="F11" i="3" a="1"/>
  <c r="F11" i="3" s="1"/>
  <c r="E11" i="3"/>
  <c r="D11" i="3"/>
  <c r="C11" i="3"/>
  <c r="B11" i="3" a="1"/>
  <c r="B11" i="3" s="1"/>
  <c r="F10" i="3" a="1"/>
  <c r="F10" i="3"/>
  <c r="E10" i="3"/>
  <c r="D10" i="3"/>
  <c r="C10" i="3"/>
  <c r="B10" i="3" a="1"/>
  <c r="B10" i="3" s="1"/>
  <c r="F9" i="3" a="1"/>
  <c r="F9" i="3" s="1"/>
  <c r="E9" i="3"/>
  <c r="D9" i="3"/>
  <c r="C9" i="3"/>
  <c r="B9" i="3" a="1"/>
  <c r="B9" i="3" s="1"/>
  <c r="F8" i="3" a="1"/>
  <c r="F8" i="3"/>
  <c r="E8" i="3"/>
  <c r="D8" i="3"/>
  <c r="C8" i="3"/>
  <c r="B8" i="3" a="1"/>
  <c r="B8" i="3"/>
  <c r="F7" i="3" a="1"/>
  <c r="F7" i="3" s="1"/>
  <c r="E7" i="3"/>
  <c r="D7" i="3"/>
  <c r="C7" i="3"/>
  <c r="B7" i="3" a="1"/>
  <c r="B7" i="3" s="1"/>
  <c r="F6" i="3" a="1"/>
  <c r="F6" i="3" s="1"/>
  <c r="E6" i="3"/>
  <c r="D6" i="3"/>
  <c r="C6" i="3"/>
  <c r="B6" i="3" a="1"/>
  <c r="B6" i="3" s="1"/>
  <c r="F5" i="3" a="1"/>
  <c r="F5" i="3" s="1"/>
  <c r="E5" i="3"/>
  <c r="D5" i="3"/>
  <c r="C5" i="3"/>
  <c r="B5" i="3" a="1"/>
  <c r="B5" i="3" s="1"/>
  <c r="F4" i="3" a="1"/>
  <c r="F4" i="3" s="1"/>
  <c r="E4" i="3"/>
  <c r="D4" i="3"/>
  <c r="C4" i="3"/>
  <c r="B4" i="3" a="1"/>
  <c r="B4" i="3" s="1"/>
  <c r="F3" i="3" a="1"/>
  <c r="F3" i="3" s="1"/>
  <c r="E3" i="3"/>
  <c r="D3" i="3"/>
  <c r="C3" i="3"/>
  <c r="B3" i="3" a="1"/>
  <c r="B3" i="3" s="1"/>
  <c r="A11" i="3"/>
  <c r="A12" i="3" s="1"/>
  <c r="D2" i="3"/>
  <c r="A4" i="3"/>
  <c r="A5" i="3"/>
  <c r="A6" i="3" s="1"/>
  <c r="A7" i="3" s="1"/>
  <c r="A8" i="3" s="1"/>
  <c r="A9" i="3" s="1"/>
  <c r="A10" i="3" s="1"/>
  <c r="A3" i="3"/>
  <c r="E2" i="3"/>
  <c r="C2" i="3"/>
  <c r="B2" i="3" a="1"/>
  <c r="B2" i="3" s="1"/>
  <c r="C7" i="2" a="1"/>
  <c r="C7" i="2" s="1"/>
  <c r="C3" i="2"/>
  <c r="C2" i="2"/>
  <c r="C4" i="2"/>
  <c r="C5" i="2" s="1"/>
  <c r="C6" i="2" s="1"/>
  <c r="B8" i="4"/>
  <c r="B7" i="4"/>
  <c r="A2" i="3" a="1"/>
  <c r="A2" i="3" s="1"/>
  <c r="F2" i="3" s="1" a="1"/>
  <c r="F2" i="3" s="1"/>
  <c r="B2" i="4"/>
  <c r="D41" i="6" l="1"/>
  <c r="C40" i="6"/>
  <c r="C42" i="6"/>
  <c r="H41" i="6"/>
  <c r="J41" i="6"/>
  <c r="J42" i="6"/>
  <c r="J40" i="6"/>
  <c r="F23" i="6"/>
  <c r="F24" i="6" s="1"/>
  <c r="F25" i="6"/>
  <c r="F26" i="6" s="1"/>
  <c r="C42" i="5"/>
  <c r="H41" i="5"/>
  <c r="D41" i="5"/>
  <c r="I41" i="5" s="1"/>
  <c r="E40" i="5"/>
  <c r="E39" i="5"/>
  <c r="D38" i="5"/>
  <c r="I38" i="5" s="1"/>
  <c r="H38" i="5"/>
  <c r="H37" i="5"/>
  <c r="D37" i="5"/>
  <c r="H36" i="5"/>
  <c r="D36" i="5"/>
  <c r="H35" i="5"/>
  <c r="D35" i="5"/>
  <c r="D34" i="5"/>
  <c r="C33" i="5"/>
  <c r="H34" i="5"/>
  <c r="J35" i="5"/>
  <c r="J40" i="5"/>
  <c r="G40" i="5" s="1"/>
  <c r="J37" i="5"/>
  <c r="J38" i="5"/>
  <c r="J33" i="5"/>
  <c r="J36" i="5"/>
  <c r="J39" i="5"/>
  <c r="G39" i="5" s="1"/>
  <c r="J42" i="5"/>
  <c r="J34" i="5"/>
  <c r="J41" i="5"/>
  <c r="F39" i="5"/>
  <c r="I39" i="5"/>
  <c r="F40" i="5"/>
  <c r="I40" i="5"/>
  <c r="F44" i="5"/>
  <c r="F45" i="5"/>
  <c r="F33" i="5"/>
  <c r="F34" i="5"/>
  <c r="F35" i="5"/>
  <c r="I35" i="5"/>
  <c r="F36" i="5"/>
  <c r="I36" i="5"/>
  <c r="F37" i="5"/>
  <c r="F42" i="5"/>
  <c r="F43" i="5"/>
  <c r="I34" i="5"/>
  <c r="I37" i="5"/>
  <c r="F38" i="5"/>
  <c r="F41" i="5"/>
  <c r="B3" i="4"/>
  <c r="E41" i="6" l="1"/>
  <c r="G41" i="6"/>
  <c r="D40" i="6"/>
  <c r="I40" i="6" s="1"/>
  <c r="H40" i="6"/>
  <c r="C39" i="6"/>
  <c r="D42" i="6"/>
  <c r="H42" i="6"/>
  <c r="C43" i="6"/>
  <c r="F35" i="6"/>
  <c r="F36" i="6"/>
  <c r="F37" i="6"/>
  <c r="I41" i="6"/>
  <c r="F42" i="6"/>
  <c r="I42" i="6"/>
  <c r="F43" i="6"/>
  <c r="F44" i="6"/>
  <c r="F38" i="6"/>
  <c r="F39" i="6"/>
  <c r="F40" i="6"/>
  <c r="F41" i="6"/>
  <c r="F45" i="6"/>
  <c r="F46" i="6"/>
  <c r="F47" i="6"/>
  <c r="D42" i="5"/>
  <c r="H42" i="5"/>
  <c r="C43" i="5"/>
  <c r="E41" i="5"/>
  <c r="G41" i="5"/>
  <c r="K40" i="5"/>
  <c r="L40" i="5"/>
  <c r="K39" i="5"/>
  <c r="L39" i="5"/>
  <c r="G38" i="5"/>
  <c r="E38" i="5"/>
  <c r="E37" i="5"/>
  <c r="G37" i="5"/>
  <c r="E36" i="5"/>
  <c r="G36" i="5"/>
  <c r="E35" i="5"/>
  <c r="G35" i="5"/>
  <c r="G34" i="5"/>
  <c r="E34" i="5"/>
  <c r="D33" i="5"/>
  <c r="H33" i="5"/>
  <c r="B4" i="4"/>
  <c r="K41" i="6" l="1"/>
  <c r="L41" i="6"/>
  <c r="E40" i="6"/>
  <c r="G40" i="6"/>
  <c r="J39" i="6"/>
  <c r="H39" i="6"/>
  <c r="D39" i="6"/>
  <c r="C38" i="6"/>
  <c r="E42" i="6"/>
  <c r="G42" i="6"/>
  <c r="J43" i="6"/>
  <c r="D43" i="6"/>
  <c r="H43" i="6"/>
  <c r="C44" i="6"/>
  <c r="I42" i="5"/>
  <c r="E42" i="5"/>
  <c r="G42" i="5"/>
  <c r="J43" i="5"/>
  <c r="D43" i="5"/>
  <c r="H43" i="5"/>
  <c r="C44" i="5"/>
  <c r="K41" i="5"/>
  <c r="L41" i="5"/>
  <c r="K38" i="5"/>
  <c r="L38" i="5"/>
  <c r="K37" i="5"/>
  <c r="L37" i="5"/>
  <c r="K36" i="5"/>
  <c r="L36" i="5"/>
  <c r="L35" i="5"/>
  <c r="K35" i="5"/>
  <c r="L34" i="5"/>
  <c r="K34" i="5"/>
  <c r="I33" i="5"/>
  <c r="G33" i="5"/>
  <c r="E33" i="5"/>
  <c r="B6" i="4"/>
  <c r="B5" i="4"/>
  <c r="K40" i="6" l="1"/>
  <c r="L40" i="6"/>
  <c r="I39" i="6"/>
  <c r="E39" i="6"/>
  <c r="G39" i="6"/>
  <c r="J38" i="6"/>
  <c r="H38" i="6"/>
  <c r="C37" i="6"/>
  <c r="D38" i="6"/>
  <c r="K42" i="6"/>
  <c r="L42" i="6"/>
  <c r="I43" i="6"/>
  <c r="E43" i="6"/>
  <c r="G43" i="6"/>
  <c r="J44" i="6"/>
  <c r="D44" i="6"/>
  <c r="H44" i="6"/>
  <c r="C45" i="6"/>
  <c r="K42" i="5"/>
  <c r="L42" i="5"/>
  <c r="I43" i="5"/>
  <c r="E43" i="5"/>
  <c r="G43" i="5"/>
  <c r="J44" i="5"/>
  <c r="D44" i="5"/>
  <c r="H44" i="5"/>
  <c r="C45" i="5"/>
  <c r="K33" i="5"/>
  <c r="L33" i="5"/>
  <c r="K39" i="6" l="1"/>
  <c r="L39" i="6"/>
  <c r="J37" i="6"/>
  <c r="H37" i="6"/>
  <c r="D37" i="6"/>
  <c r="C36" i="6"/>
  <c r="I38" i="6"/>
  <c r="E38" i="6"/>
  <c r="G38" i="6"/>
  <c r="K43" i="6"/>
  <c r="L43" i="6"/>
  <c r="I44" i="6"/>
  <c r="E44" i="6"/>
  <c r="G44" i="6"/>
  <c r="J45" i="6"/>
  <c r="D45" i="6"/>
  <c r="H45" i="6"/>
  <c r="C46" i="6"/>
  <c r="K43" i="5"/>
  <c r="L43" i="5"/>
  <c r="I44" i="5"/>
  <c r="E44" i="5"/>
  <c r="G44" i="5"/>
  <c r="J45" i="5"/>
  <c r="D45" i="5"/>
  <c r="H45" i="5"/>
  <c r="I37" i="6" l="1"/>
  <c r="E37" i="6"/>
  <c r="G37" i="6"/>
  <c r="J36" i="6"/>
  <c r="H36" i="6"/>
  <c r="D36" i="6"/>
  <c r="C35" i="6"/>
  <c r="K38" i="6"/>
  <c r="L38" i="6"/>
  <c r="K44" i="6"/>
  <c r="L44" i="6"/>
  <c r="I45" i="6"/>
  <c r="E45" i="6"/>
  <c r="G45" i="6"/>
  <c r="J46" i="6"/>
  <c r="D46" i="6"/>
  <c r="H46" i="6"/>
  <c r="C47" i="6"/>
  <c r="K44" i="5"/>
  <c r="L44" i="5"/>
  <c r="I45" i="5"/>
  <c r="E45" i="5"/>
  <c r="G45" i="5"/>
  <c r="F29" i="5" s="1"/>
  <c r="K37" i="6" l="1"/>
  <c r="L37" i="6"/>
  <c r="I36" i="6"/>
  <c r="E36" i="6"/>
  <c r="G36" i="6"/>
  <c r="J35" i="6"/>
  <c r="H35" i="6"/>
  <c r="D35" i="6"/>
  <c r="K45" i="6"/>
  <c r="L45" i="6"/>
  <c r="I46" i="6"/>
  <c r="E46" i="6"/>
  <c r="G46" i="6"/>
  <c r="J47" i="6"/>
  <c r="D47" i="6"/>
  <c r="H47" i="6"/>
  <c r="K45" i="5"/>
  <c r="K36" i="6" l="1"/>
  <c r="L36" i="6"/>
  <c r="I35" i="6"/>
  <c r="E35" i="6"/>
  <c r="G35" i="6"/>
  <c r="K46" i="6"/>
  <c r="L46" i="6"/>
  <c r="I47" i="6"/>
  <c r="E47" i="6"/>
  <c r="G47" i="6"/>
  <c r="K35" i="6" l="1"/>
  <c r="L35" i="6"/>
  <c r="K47" i="6"/>
  <c r="L47" i="6"/>
  <c r="F31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<sst xmlns="http://schemas.openxmlformats.org/spreadsheetml/2006/main" count="131" uniqueCount="91">
  <si>
    <t>FC_AMT</t>
  </si>
  <si>
    <t>S0_in</t>
  </si>
  <si>
    <t>F0_in</t>
  </si>
  <si>
    <t>R_USD</t>
  </si>
  <si>
    <t>R_FC</t>
  </si>
  <si>
    <t>K_PUT</t>
  </si>
  <si>
    <t>PREM_PUT</t>
  </si>
  <si>
    <t>K_CALL</t>
  </si>
  <si>
    <t>PREM_CALL</t>
  </si>
  <si>
    <t>T_DAYS</t>
  </si>
  <si>
    <t>T_yrs</t>
  </si>
  <si>
    <t>Forward_USD</t>
  </si>
  <si>
    <t>PV_FC</t>
  </si>
  <si>
    <t>USD_now</t>
  </si>
  <si>
    <t>USD_mm_proceeds</t>
  </si>
  <si>
    <t>Parity_Diff</t>
  </si>
  <si>
    <t>S_T</t>
  </si>
  <si>
    <t>NoHedge</t>
  </si>
  <si>
    <t>Forward</t>
  </si>
  <si>
    <t>MoneyMarket</t>
  </si>
  <si>
    <t>PutNet</t>
  </si>
  <si>
    <t>CallNet</t>
  </si>
  <si>
    <t>Metric</t>
  </si>
  <si>
    <t>Value</t>
  </si>
  <si>
    <t>Forward USD</t>
  </si>
  <si>
    <t>Money Market USD</t>
  </si>
  <si>
    <t>Parity difference</t>
  </si>
  <si>
    <t>Unhedged min (USD)</t>
  </si>
  <si>
    <t>Unhedged max (USD)</t>
  </si>
  <si>
    <t>Worst case with put (USD)</t>
  </si>
  <si>
    <t>Option premium total (PUT)</t>
  </si>
  <si>
    <t xml:space="preserve">Assumptions/Sources </t>
  </si>
  <si>
    <t>Spot: Yahoo Finance EURUSD, 2026-04-10</t>
  </si>
  <si>
    <t>Forward: course scenario 1.0890a</t>
  </si>
  <si>
    <t>USD rate: U.S. Treasury 1yr, 2026-04-10</t>
  </si>
  <si>
    <t>EUR rate: 12m Euribor, 2026-04-10</t>
  </si>
  <si>
    <t>Given</t>
  </si>
  <si>
    <t xml:space="preserve">Variables </t>
  </si>
  <si>
    <t>Key</t>
  </si>
  <si>
    <t>1-Year Receivable</t>
  </si>
  <si>
    <t>Editable</t>
  </si>
  <si>
    <t>Current GBP/USD Spot Exchange Rate</t>
  </si>
  <si>
    <t>Outcome</t>
  </si>
  <si>
    <t>Money Market</t>
  </si>
  <si>
    <t>Formulas</t>
  </si>
  <si>
    <t>U.S. 1-Year Interest Rate (domestic)</t>
  </si>
  <si>
    <t>U.K. 1-Year Interest Rate (foreign)</t>
  </si>
  <si>
    <t>&lt;--what if 8% TIME PERMITTING</t>
  </si>
  <si>
    <t>Forwards</t>
  </si>
  <si>
    <t>GBP/USD 1-Year Forward Exchange Rate</t>
  </si>
  <si>
    <t>Options</t>
  </si>
  <si>
    <t>GBP/USD Put Strike Price</t>
  </si>
  <si>
    <t>GBP/USD Put Price</t>
  </si>
  <si>
    <t>1. Forward Hedge</t>
  </si>
  <si>
    <r>
      <rPr>
        <sz val="18"/>
        <color theme="1"/>
        <rFont val="Arial"/>
        <family val="2"/>
      </rPr>
      <t xml:space="preserve">[a] </t>
    </r>
    <r>
      <rPr>
        <b/>
        <sz val="18"/>
        <color theme="1"/>
        <rFont val="Arial"/>
        <family val="2"/>
      </rPr>
      <t>Sell</t>
    </r>
    <r>
      <rPr>
        <sz val="18"/>
        <color theme="1"/>
        <rFont val="Arial"/>
        <family val="2"/>
      </rPr>
      <t xml:space="preserve"> GBP/USD 1-Year Forward</t>
    </r>
  </si>
  <si>
    <t xml:space="preserve">&lt;-- LOCKED IN: in one year we will have this amount </t>
  </si>
  <si>
    <t>2. Money Market Hedge</t>
  </si>
  <si>
    <t>[a] Borrow the discounted present value of the foreign receivable</t>
  </si>
  <si>
    <t>[b] Convert [a] into domestic at the current spot exchange</t>
  </si>
  <si>
    <t>[c] Invest [b] at the prevailing domestic interest rate</t>
  </si>
  <si>
    <t>3. Option Hedge</t>
  </si>
  <si>
    <r>
      <rPr>
        <sz val="18"/>
        <color theme="1"/>
        <rFont val="Arial"/>
        <family val="2"/>
      </rPr>
      <t xml:space="preserve">[a] Buy </t>
    </r>
    <r>
      <rPr>
        <b/>
        <sz val="18"/>
        <color theme="1"/>
        <rFont val="Arial"/>
        <family val="2"/>
      </rPr>
      <t>puts</t>
    </r>
  </si>
  <si>
    <t>[b] Determine 1-year future value equivalent of [a]</t>
  </si>
  <si>
    <t>&lt;-- LOWEST: variable amount depends on where GBP/USD spot ends up in 1 year</t>
  </si>
  <si>
    <t>GBP/USD
Spot Exchange Rate
(scenarios in 1 year)</t>
  </si>
  <si>
    <t>In one year, we receive</t>
  </si>
  <si>
    <t>Hedge Profit (Loss) vs. No Hedge</t>
  </si>
  <si>
    <t>Winner</t>
  </si>
  <si>
    <t>0. No Hedge</t>
  </si>
  <si>
    <t>1. Forward Hedge
(F - St) x Notional Value</t>
  </si>
  <si>
    <t>of Hedge / No Hedge</t>
  </si>
  <si>
    <t>of Hedges</t>
  </si>
  <si>
    <t>Future Spot Price</t>
  </si>
  <si>
    <t>&lt;-- Worse (GBP depreciates)</t>
  </si>
  <si>
    <t>&lt;-- baseline</t>
  </si>
  <si>
    <t>&lt;-- Better (GBP appreciates)</t>
  </si>
  <si>
    <r>
      <t xml:space="preserve">Hedging Foreign Currency </t>
    </r>
    <r>
      <rPr>
        <b/>
        <u/>
        <sz val="18"/>
        <color theme="1"/>
        <rFont val="Arial"/>
        <family val="2"/>
      </rPr>
      <t>Receivables</t>
    </r>
  </si>
  <si>
    <r>
      <rPr>
        <b/>
        <sz val="18"/>
        <color theme="1"/>
        <rFont val="Arial"/>
        <family val="2"/>
      </rPr>
      <t xml:space="preserve">Hedging Foreign Currency </t>
    </r>
    <r>
      <rPr>
        <b/>
        <u/>
        <sz val="18"/>
        <color theme="1"/>
        <rFont val="Arial"/>
        <family val="2"/>
      </rPr>
      <t>Payables</t>
    </r>
  </si>
  <si>
    <t>GBP/USD Call Strike Price</t>
  </si>
  <si>
    <t>GBP/USD Call Price</t>
  </si>
  <si>
    <r>
      <rPr>
        <sz val="18"/>
        <color theme="1"/>
        <rFont val="Arial"/>
        <family val="2"/>
      </rPr>
      <t xml:space="preserve">[a] </t>
    </r>
    <r>
      <rPr>
        <b/>
        <sz val="18"/>
        <color theme="1"/>
        <rFont val="Arial"/>
        <family val="2"/>
      </rPr>
      <t>Buy</t>
    </r>
    <r>
      <rPr>
        <sz val="18"/>
        <color theme="1"/>
        <rFont val="Arial"/>
        <family val="2"/>
      </rPr>
      <t xml:space="preserve"> GBP/USD 1-Year Forward</t>
    </r>
  </si>
  <si>
    <t>[a] Determine present value of the foreign payable</t>
  </si>
  <si>
    <t>[b] Calculate [a] into domestic at the current spot exchange &amp; Borrow</t>
  </si>
  <si>
    <t>[c] Convert [b] into foreign currency at the current spot exchange</t>
  </si>
  <si>
    <t>[d] Recieve in 1-year and make payment</t>
  </si>
  <si>
    <t>[e] Future Value of expense at the prevailing domestic interest rate</t>
  </si>
  <si>
    <r>
      <rPr>
        <sz val="18"/>
        <color theme="1"/>
        <rFont val="Arial"/>
        <family val="2"/>
      </rPr>
      <t xml:space="preserve">[a] Buy </t>
    </r>
    <r>
      <rPr>
        <b/>
        <sz val="18"/>
        <color theme="1"/>
        <rFont val="Arial"/>
        <family val="2"/>
      </rPr>
      <t>call</t>
    </r>
  </si>
  <si>
    <t>&lt;-- HIGHEST: variable amount depends on where GBP/USD spot ends up in 1 year</t>
  </si>
  <si>
    <t>In one year, we pay</t>
  </si>
  <si>
    <t>&lt;-- Better (GBP depreciates)</t>
  </si>
  <si>
    <t>&lt;-- Worse (GBP appreciates)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</si>
</sst>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[$£]#,##0"/>
    <numFmt numFmtId="165" formatCode="&quot;$&quot;#,##0.00"/>
    <numFmt numFmtId="166" formatCode="&quot;$&quot;#,##0"/>
  </numFmts>
  <fonts count="15" x14ac:knownFonts="1">
    <font>
      <sz val="12"/>
      <color theme="1"/>
      <name val="Aptos Narrow"/>
      <family val="2"/>
      <scheme val="minor"/>
    </font>
    <font>
      <sz val="10"/>
      <color rgb="FF000000"/>
      <name val="Arial Unicode MS"/>
      <family val="2"/>
    </font>
    <font>
      <b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sz val="18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8"/>
      <color theme="1"/>
      <name val="Arial"/>
      <family val="2"/>
    </font>
    <font>
      <b/>
      <u/>
      <sz val="18"/>
      <color theme="1"/>
      <name val="Arial"/>
      <family val="2"/>
    </font>
    <font>
      <sz val="18"/>
      <color theme="1"/>
      <name val="Arial"/>
      <family val="2"/>
    </font>
    <font>
      <sz val="10"/>
      <name val="Arial"/>
      <family val="2"/>
    </font>
    <font>
      <b/>
      <sz val="18"/>
      <color rgb="FF000000"/>
      <name val="Inconsolata"/>
    </font>
    <font>
      <u/>
      <sz val="18"/>
      <color theme="1"/>
      <name val="Aptos Narrow"/>
      <family val="2"/>
      <scheme val="minor"/>
    </font>
    <font>
      <b/>
      <sz val="18"/>
      <color rgb="FF0000FF"/>
      <name val="Aptos Narrow"/>
      <family val="2"/>
      <scheme val="minor"/>
    </font>
    <font>
      <sz val="18"/>
      <color rgb="FF0000FF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EAD1DC"/>
        <bgColor rgb="FFEAD1DC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</fills>
  <borders count="67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FFFFFF"/>
      </bottom>
      <diagonal/>
    </border>
    <border>
      <left/>
      <right/>
      <top style="thick">
        <color rgb="FF000000"/>
      </top>
      <bottom style="thin">
        <color rgb="FFFFFFFF"/>
      </bottom>
      <diagonal/>
    </border>
    <border>
      <left/>
      <right style="thick">
        <color rgb="FF000000"/>
      </right>
      <top style="thick">
        <color rgb="FF000000"/>
      </top>
      <bottom style="thin">
        <color rgb="FFFFFFF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ck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ck">
        <color rgb="FF000000"/>
      </right>
      <top style="thin">
        <color rgb="FFFFFFFF"/>
      </top>
      <bottom style="thin">
        <color rgb="FFFFFFFF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FFFFFF"/>
      </top>
      <bottom style="medium">
        <color rgb="FF000000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ck">
        <color rgb="FF000000"/>
      </left>
      <right style="thin">
        <color rgb="FFFFFFFF"/>
      </right>
      <top style="thin">
        <color rgb="FFFFFFFF"/>
      </top>
      <bottom style="thick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ck">
        <color rgb="FF000000"/>
      </bottom>
      <diagonal/>
    </border>
    <border>
      <left style="thin">
        <color rgb="FFFFFFFF"/>
      </left>
      <right style="thick">
        <color rgb="FF000000"/>
      </right>
      <top style="thin">
        <color rgb="FFFFFFFF"/>
      </top>
      <bottom style="thick">
        <color rgb="FF000000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dotted">
        <color rgb="FF000000"/>
      </left>
      <right/>
      <top style="dotted">
        <color rgb="FF000000"/>
      </top>
      <bottom style="thin">
        <color rgb="FFFFFFFF"/>
      </bottom>
      <diagonal/>
    </border>
    <border>
      <left/>
      <right/>
      <top style="dotted">
        <color rgb="FF000000"/>
      </top>
      <bottom style="thin">
        <color rgb="FFFFFFFF"/>
      </bottom>
      <diagonal/>
    </border>
    <border>
      <left/>
      <right style="dotted">
        <color rgb="FF000000"/>
      </right>
      <top style="dotted">
        <color rgb="FF000000"/>
      </top>
      <bottom style="thin">
        <color rgb="FFFFFFFF"/>
      </bottom>
      <diagonal/>
    </border>
    <border>
      <left style="dotted">
        <color rgb="FF000000"/>
      </left>
      <right/>
      <top style="thin">
        <color rgb="FFFFFFFF"/>
      </top>
      <bottom style="dotted">
        <color rgb="FF000000"/>
      </bottom>
      <diagonal/>
    </border>
    <border>
      <left/>
      <right/>
      <top style="thin">
        <color rgb="FFFFFFFF"/>
      </top>
      <bottom style="dotted">
        <color rgb="FF000000"/>
      </bottom>
      <diagonal/>
    </border>
    <border>
      <left/>
      <right style="thin">
        <color rgb="FFFFFFFF"/>
      </right>
      <top style="thin">
        <color rgb="FFFFFFFF"/>
      </top>
      <bottom style="dotted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dotted">
        <color rgb="FF000000"/>
      </bottom>
      <diagonal/>
    </border>
    <border>
      <left style="thin">
        <color rgb="FFFFFFFF"/>
      </left>
      <right/>
      <top style="thin">
        <color rgb="FFFFFFFF"/>
      </top>
      <bottom style="dotted">
        <color rgb="FF000000"/>
      </bottom>
      <diagonal/>
    </border>
    <border>
      <left/>
      <right style="dotted">
        <color rgb="FF000000"/>
      </right>
      <top style="thin">
        <color rgb="FFFFFFFF"/>
      </top>
      <bottom style="dotted">
        <color rgb="FF000000"/>
      </bottom>
      <diagonal/>
    </border>
    <border>
      <left style="dotted">
        <color rgb="FF000000"/>
      </left>
      <right/>
      <top style="thin">
        <color rgb="FFFFFFFF"/>
      </top>
      <bottom style="thin">
        <color rgb="FFFFFFFF"/>
      </bottom>
      <diagonal/>
    </border>
    <border>
      <left/>
      <right style="dotted">
        <color rgb="FF000000"/>
      </right>
      <top style="thin">
        <color rgb="FFFFFFFF"/>
      </top>
      <bottom style="thin">
        <color rgb="FFFFFFFF"/>
      </bottom>
      <diagonal/>
    </border>
    <border>
      <left style="dotted">
        <color rgb="FF000000"/>
      </left>
      <right style="thin">
        <color rgb="FFFFFFFF"/>
      </right>
      <top style="thin">
        <color rgb="FFFFFFFF"/>
      </top>
      <bottom style="dotted">
        <color rgb="FF000000"/>
      </bottom>
      <diagonal/>
    </border>
    <border>
      <left style="thin">
        <color rgb="FFFFFFFF"/>
      </left>
      <right style="dotted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FFFFFF"/>
      </bottom>
      <diagonal/>
    </border>
    <border>
      <left/>
      <right/>
      <top style="thin">
        <color rgb="FF000000"/>
      </top>
      <bottom style="thin">
        <color rgb="FFFFFFFF"/>
      </bottom>
      <diagonal/>
    </border>
    <border>
      <left/>
      <right style="thin">
        <color rgb="FF000000"/>
      </right>
      <top style="thin">
        <color rgb="FF000000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000000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FFFFFF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FFFFFF"/>
      </right>
      <top style="medium">
        <color rgb="FF000000"/>
      </top>
      <bottom style="thin">
        <color rgb="FFFFFFFF"/>
      </bottom>
      <diagonal/>
    </border>
    <border>
      <left style="thin">
        <color rgb="FFFFFFFF"/>
      </left>
      <right style="medium">
        <color rgb="FF000000"/>
      </right>
      <top style="medium">
        <color rgb="FF000000"/>
      </top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medium">
        <color rgb="FF000000"/>
      </left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medium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 style="medium">
        <color rgb="FF000000"/>
      </left>
      <right/>
      <top style="thin">
        <color rgb="FFFFFFFF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FFFFFF"/>
      </right>
      <top style="thin">
        <color rgb="FFFFFFFF"/>
      </top>
      <bottom style="medium">
        <color rgb="FF000000"/>
      </bottom>
      <diagonal/>
    </border>
    <border>
      <left style="thin">
        <color rgb="FFFFFFFF"/>
      </left>
      <right style="medium">
        <color rgb="FF000000"/>
      </right>
      <top style="thin">
        <color rgb="FFFFFFFF"/>
      </top>
      <bottom style="medium">
        <color rgb="FF000000"/>
      </bottom>
      <diagonal/>
    </border>
    <border>
      <left style="thin">
        <color rgb="FF000000"/>
      </left>
      <right style="thin">
        <color rgb="FFFFFFFF"/>
      </right>
      <top style="medium">
        <color rgb="FF000000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medium">
        <color rgb="FF000000"/>
      </top>
      <bottom style="thin">
        <color rgb="FFFFFFFF"/>
      </bottom>
      <diagonal/>
    </border>
    <border>
      <left style="thin">
        <color rgb="FFFFFFFF"/>
      </left>
      <right style="thin">
        <color rgb="FF000000"/>
      </right>
      <top style="medium">
        <color rgb="FF000000"/>
      </top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medium">
        <color rgb="FF000000"/>
      </bottom>
      <diagonal/>
    </border>
  </borders>
  <cellStyleXfs count="1">
    <xf numFmtId="0" fontId="0" fillId="0" borderId="0"/>
  </cellStyleXfs>
  <cellXfs count="145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4" borderId="0" xfId="0" applyFill="1"/>
    <xf numFmtId="0" fontId="3" fillId="0" borderId="0" xfId="0" applyFont="1"/>
    <xf numFmtId="0" fontId="2" fillId="3" borderId="0" xfId="0" applyFont="1" applyFill="1"/>
    <xf numFmtId="44" fontId="0" fillId="3" borderId="0" xfId="0" applyNumberFormat="1" applyFill="1"/>
    <xf numFmtId="44" fontId="0" fillId="0" borderId="0" xfId="0" applyNumberFormat="1"/>
    <xf numFmtId="0" fontId="4" fillId="0" borderId="0" xfId="0" applyFont="1" applyAlignment="1">
      <alignment vertical="top"/>
    </xf>
    <xf numFmtId="0" fontId="4" fillId="0" borderId="1" xfId="0" applyFont="1" applyBorder="1" applyAlignment="1">
      <alignment vertical="top"/>
    </xf>
    <xf numFmtId="0" fontId="5" fillId="0" borderId="1" xfId="0" applyFont="1" applyBorder="1" applyAlignment="1">
      <alignment vertical="top"/>
    </xf>
    <xf numFmtId="0" fontId="4" fillId="0" borderId="2" xfId="0" applyFont="1" applyBorder="1" applyAlignment="1">
      <alignment vertical="top"/>
    </xf>
    <xf numFmtId="0" fontId="9" fillId="0" borderId="3" xfId="0" applyFont="1" applyBorder="1"/>
    <xf numFmtId="0" fontId="9" fillId="0" borderId="4" xfId="0" applyFont="1" applyBorder="1"/>
    <xf numFmtId="0" fontId="4" fillId="0" borderId="5" xfId="0" applyFont="1" applyBorder="1" applyAlignment="1">
      <alignment vertical="top"/>
    </xf>
    <xf numFmtId="0" fontId="4" fillId="0" borderId="2" xfId="0" applyFont="1" applyBorder="1" applyAlignment="1">
      <alignment vertical="top"/>
    </xf>
    <xf numFmtId="0" fontId="5" fillId="5" borderId="6" xfId="0" applyFont="1" applyFill="1" applyBorder="1" applyAlignment="1">
      <alignment horizontal="center" vertical="top"/>
    </xf>
    <xf numFmtId="0" fontId="9" fillId="0" borderId="7" xfId="0" applyFont="1" applyBorder="1"/>
    <xf numFmtId="0" fontId="5" fillId="5" borderId="8" xfId="0" applyFont="1" applyFill="1" applyBorder="1" applyAlignment="1">
      <alignment horizontal="center" vertical="top"/>
    </xf>
    <xf numFmtId="0" fontId="4" fillId="0" borderId="3" xfId="0" applyFont="1" applyBorder="1" applyAlignment="1">
      <alignment vertical="top"/>
    </xf>
    <xf numFmtId="0" fontId="5" fillId="0" borderId="9" xfId="0" applyFont="1" applyBorder="1" applyAlignment="1">
      <alignment horizontal="center"/>
    </xf>
    <xf numFmtId="0" fontId="4" fillId="0" borderId="4" xfId="0" applyFont="1" applyBorder="1" applyAlignment="1">
      <alignment vertical="top"/>
    </xf>
    <xf numFmtId="0" fontId="4" fillId="0" borderId="10" xfId="0" applyFont="1" applyBorder="1" applyAlignment="1">
      <alignment vertical="top"/>
    </xf>
    <xf numFmtId="164" fontId="4" fillId="0" borderId="1" xfId="0" applyNumberFormat="1" applyFont="1" applyBorder="1" applyAlignment="1">
      <alignment vertical="top"/>
    </xf>
    <xf numFmtId="164" fontId="4" fillId="6" borderId="11" xfId="0" applyNumberFormat="1" applyFont="1" applyFill="1" applyBorder="1" applyAlignment="1">
      <alignment vertical="top"/>
    </xf>
    <xf numFmtId="164" fontId="4" fillId="0" borderId="3" xfId="0" applyNumberFormat="1" applyFont="1" applyBorder="1" applyAlignment="1">
      <alignment vertical="top"/>
    </xf>
    <xf numFmtId="0" fontId="10" fillId="6" borderId="12" xfId="0" applyFont="1" applyFill="1" applyBorder="1"/>
    <xf numFmtId="164" fontId="4" fillId="0" borderId="4" xfId="0" applyNumberFormat="1" applyFont="1" applyBorder="1" applyAlignment="1">
      <alignment vertical="top"/>
    </xf>
    <xf numFmtId="165" fontId="4" fillId="0" borderId="1" xfId="0" applyNumberFormat="1" applyFont="1" applyBorder="1" applyAlignment="1">
      <alignment vertical="top"/>
    </xf>
    <xf numFmtId="165" fontId="4" fillId="6" borderId="11" xfId="0" applyNumberFormat="1" applyFont="1" applyFill="1" applyBorder="1" applyAlignment="1">
      <alignment vertical="top"/>
    </xf>
    <xf numFmtId="166" fontId="4" fillId="0" borderId="3" xfId="0" applyNumberFormat="1" applyFont="1" applyBorder="1" applyAlignment="1">
      <alignment vertical="top"/>
    </xf>
    <xf numFmtId="0" fontId="10" fillId="7" borderId="12" xfId="0" applyFont="1" applyFill="1" applyBorder="1"/>
    <xf numFmtId="0" fontId="11" fillId="0" borderId="10" xfId="0" applyFont="1" applyBorder="1" applyAlignment="1">
      <alignment vertical="top"/>
    </xf>
    <xf numFmtId="10" fontId="4" fillId="0" borderId="1" xfId="0" applyNumberFormat="1" applyFont="1" applyBorder="1" applyAlignment="1">
      <alignment vertical="top"/>
    </xf>
    <xf numFmtId="10" fontId="4" fillId="8" borderId="11" xfId="0" applyNumberFormat="1" applyFont="1" applyFill="1" applyBorder="1" applyAlignment="1">
      <alignment vertical="top"/>
    </xf>
    <xf numFmtId="164" fontId="12" fillId="0" borderId="13" xfId="0" applyNumberFormat="1" applyFont="1" applyBorder="1" applyAlignment="1">
      <alignment vertical="top"/>
    </xf>
    <xf numFmtId="10" fontId="4" fillId="6" borderId="11" xfId="0" applyNumberFormat="1" applyFont="1" applyFill="1" applyBorder="1" applyAlignment="1">
      <alignment vertical="top"/>
    </xf>
    <xf numFmtId="0" fontId="8" fillId="0" borderId="14" xfId="0" applyFont="1" applyBorder="1" applyAlignment="1">
      <alignment vertical="top"/>
    </xf>
    <xf numFmtId="165" fontId="4" fillId="8" borderId="11" xfId="0" applyNumberFormat="1" applyFont="1" applyFill="1" applyBorder="1" applyAlignment="1">
      <alignment vertical="top"/>
    </xf>
    <xf numFmtId="0" fontId="4" fillId="8" borderId="11" xfId="0" applyFont="1" applyFill="1" applyBorder="1" applyAlignment="1">
      <alignment vertical="top"/>
    </xf>
    <xf numFmtId="0" fontId="4" fillId="0" borderId="10" xfId="0" applyFont="1" applyBorder="1"/>
    <xf numFmtId="165" fontId="4" fillId="0" borderId="1" xfId="0" applyNumberFormat="1" applyFont="1" applyBorder="1"/>
    <xf numFmtId="165" fontId="4" fillId="6" borderId="11" xfId="0" applyNumberFormat="1" applyFont="1" applyFill="1" applyBorder="1"/>
    <xf numFmtId="0" fontId="4" fillId="0" borderId="15" xfId="0" applyFont="1" applyBorder="1" applyAlignment="1">
      <alignment vertical="top"/>
    </xf>
    <xf numFmtId="165" fontId="4" fillId="0" borderId="16" xfId="0" applyNumberFormat="1" applyFont="1" applyBorder="1" applyAlignment="1">
      <alignment vertical="top"/>
    </xf>
    <xf numFmtId="165" fontId="4" fillId="6" borderId="17" xfId="0" applyNumberFormat="1" applyFont="1" applyFill="1" applyBorder="1" applyAlignment="1">
      <alignment vertical="top"/>
    </xf>
    <xf numFmtId="0" fontId="4" fillId="0" borderId="1" xfId="0" applyFont="1" applyBorder="1"/>
    <xf numFmtId="0" fontId="4" fillId="0" borderId="18" xfId="0" applyFont="1" applyBorder="1" applyAlignment="1">
      <alignment vertical="top"/>
    </xf>
    <xf numFmtId="166" fontId="4" fillId="0" borderId="5" xfId="0" applyNumberFormat="1" applyFont="1" applyBorder="1" applyAlignment="1">
      <alignment vertical="top"/>
    </xf>
    <xf numFmtId="0" fontId="4" fillId="0" borderId="5" xfId="0" applyFont="1" applyBorder="1"/>
    <xf numFmtId="0" fontId="5" fillId="5" borderId="19" xfId="0" applyFont="1" applyFill="1" applyBorder="1"/>
    <xf numFmtId="0" fontId="9" fillId="0" borderId="20" xfId="0" applyFont="1" applyBorder="1"/>
    <xf numFmtId="0" fontId="9" fillId="0" borderId="21" xfId="0" applyFont="1" applyBorder="1"/>
    <xf numFmtId="0" fontId="4" fillId="0" borderId="22" xfId="0" applyFont="1" applyBorder="1" applyAlignment="1">
      <alignment vertical="top"/>
    </xf>
    <xf numFmtId="0" fontId="9" fillId="0" borderId="23" xfId="0" applyFont="1" applyBorder="1"/>
    <xf numFmtId="0" fontId="9" fillId="0" borderId="24" xfId="0" applyFont="1" applyBorder="1"/>
    <xf numFmtId="166" fontId="12" fillId="7" borderId="25" xfId="0" applyNumberFormat="1" applyFont="1" applyFill="1" applyBorder="1" applyAlignment="1">
      <alignment vertical="top"/>
    </xf>
    <xf numFmtId="0" fontId="5" fillId="0" borderId="26" xfId="0" applyFont="1" applyBorder="1" applyAlignment="1">
      <alignment vertical="top"/>
    </xf>
    <xf numFmtId="0" fontId="9" fillId="0" borderId="27" xfId="0" applyFont="1" applyBorder="1"/>
    <xf numFmtId="166" fontId="4" fillId="0" borderId="18" xfId="0" applyNumberFormat="1" applyFont="1" applyBorder="1" applyAlignment="1">
      <alignment vertical="top"/>
    </xf>
    <xf numFmtId="0" fontId="5" fillId="5" borderId="19" xfId="0" applyFont="1" applyFill="1" applyBorder="1" applyAlignment="1">
      <alignment vertical="top"/>
    </xf>
    <xf numFmtId="0" fontId="4" fillId="0" borderId="28" xfId="0" applyFont="1" applyBorder="1" applyAlignment="1">
      <alignment vertical="top"/>
    </xf>
    <xf numFmtId="164" fontId="13" fillId="0" borderId="1" xfId="0" applyNumberFormat="1" applyFont="1" applyBorder="1" applyAlignment="1">
      <alignment vertical="top"/>
    </xf>
    <xf numFmtId="0" fontId="9" fillId="0" borderId="29" xfId="0" applyFont="1" applyBorder="1"/>
    <xf numFmtId="166" fontId="13" fillId="0" borderId="1" xfId="0" applyNumberFormat="1" applyFont="1" applyBorder="1" applyAlignment="1">
      <alignment vertical="top"/>
    </xf>
    <xf numFmtId="0" fontId="4" fillId="0" borderId="30" xfId="0" applyFont="1" applyBorder="1" applyAlignment="1">
      <alignment vertical="top"/>
    </xf>
    <xf numFmtId="0" fontId="5" fillId="8" borderId="25" xfId="0" applyFont="1" applyFill="1" applyBorder="1" applyAlignment="1">
      <alignment vertical="top"/>
    </xf>
    <xf numFmtId="0" fontId="4" fillId="0" borderId="31" xfId="0" applyFont="1" applyBorder="1" applyAlignment="1">
      <alignment vertical="top"/>
    </xf>
    <xf numFmtId="0" fontId="4" fillId="0" borderId="25" xfId="0" applyFont="1" applyBorder="1" applyAlignment="1">
      <alignment vertical="top"/>
    </xf>
    <xf numFmtId="166" fontId="12" fillId="7" borderId="25" xfId="0" applyNumberFormat="1" applyFont="1" applyFill="1" applyBorder="1" applyAlignment="1">
      <alignment horizontal="right" vertical="top"/>
    </xf>
    <xf numFmtId="0" fontId="4" fillId="0" borderId="32" xfId="0" applyFont="1" applyBorder="1" applyAlignment="1">
      <alignment vertical="top"/>
    </xf>
    <xf numFmtId="0" fontId="5" fillId="5" borderId="33" xfId="0" applyFont="1" applyFill="1" applyBorder="1" applyAlignment="1">
      <alignment horizontal="center" vertical="top"/>
    </xf>
    <xf numFmtId="0" fontId="5" fillId="0" borderId="34" xfId="0" applyFont="1" applyBorder="1" applyAlignment="1">
      <alignment horizontal="center" vertical="top"/>
    </xf>
    <xf numFmtId="0" fontId="9" fillId="0" borderId="35" xfId="0" applyFont="1" applyBorder="1"/>
    <xf numFmtId="0" fontId="9" fillId="0" borderId="36" xfId="0" applyFont="1" applyBorder="1"/>
    <xf numFmtId="0" fontId="5" fillId="9" borderId="34" xfId="0" applyFont="1" applyFill="1" applyBorder="1" applyAlignment="1">
      <alignment horizontal="center" vertical="top"/>
    </xf>
    <xf numFmtId="0" fontId="9" fillId="0" borderId="37" xfId="0" applyFont="1" applyBorder="1"/>
    <xf numFmtId="0" fontId="5" fillId="0" borderId="38" xfId="0" applyFont="1" applyBorder="1" applyAlignment="1">
      <alignment horizontal="center" vertical="top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166" fontId="5" fillId="0" borderId="39" xfId="0" applyNumberFormat="1" applyFont="1" applyBorder="1" applyAlignment="1">
      <alignment horizontal="center" vertical="top"/>
    </xf>
    <xf numFmtId="166" fontId="5" fillId="9" borderId="38" xfId="0" applyNumberFormat="1" applyFont="1" applyFill="1" applyBorder="1" applyAlignment="1">
      <alignment horizontal="center" vertical="top"/>
    </xf>
    <xf numFmtId="0" fontId="5" fillId="9" borderId="0" xfId="0" applyFont="1" applyFill="1" applyAlignment="1">
      <alignment horizontal="center" vertical="top"/>
    </xf>
    <xf numFmtId="166" fontId="5" fillId="9" borderId="39" xfId="0" applyNumberFormat="1" applyFont="1" applyFill="1" applyBorder="1" applyAlignment="1">
      <alignment horizontal="center" vertical="top"/>
    </xf>
    <xf numFmtId="0" fontId="5" fillId="0" borderId="39" xfId="0" applyFont="1" applyBorder="1" applyAlignment="1">
      <alignment horizontal="center" vertical="top"/>
    </xf>
    <xf numFmtId="0" fontId="5" fillId="0" borderId="0" xfId="0" applyFont="1" applyAlignment="1">
      <alignment horizontal="center" vertical="center" textRotation="90"/>
    </xf>
    <xf numFmtId="0" fontId="5" fillId="0" borderId="40" xfId="0" applyFont="1" applyBorder="1" applyAlignment="1">
      <alignment horizontal="center" vertical="center" textRotation="90"/>
    </xf>
    <xf numFmtId="165" fontId="4" fillId="5" borderId="41" xfId="0" applyNumberFormat="1" applyFont="1" applyFill="1" applyBorder="1" applyAlignment="1">
      <alignment vertical="top"/>
    </xf>
    <xf numFmtId="166" fontId="13" fillId="0" borderId="42" xfId="0" applyNumberFormat="1" applyFont="1" applyBorder="1" applyAlignment="1">
      <alignment vertical="top"/>
    </xf>
    <xf numFmtId="166" fontId="13" fillId="0" borderId="43" xfId="0" applyNumberFormat="1" applyFont="1" applyBorder="1" applyAlignment="1">
      <alignment vertical="top"/>
    </xf>
    <xf numFmtId="166" fontId="13" fillId="0" borderId="43" xfId="0" applyNumberFormat="1" applyFont="1" applyBorder="1"/>
    <xf numFmtId="166" fontId="13" fillId="0" borderId="44" xfId="0" applyNumberFormat="1" applyFont="1" applyBorder="1"/>
    <xf numFmtId="166" fontId="13" fillId="9" borderId="42" xfId="0" applyNumberFormat="1" applyFont="1" applyFill="1" applyBorder="1" applyAlignment="1">
      <alignment vertical="top"/>
    </xf>
    <xf numFmtId="166" fontId="13" fillId="9" borderId="43" xfId="0" applyNumberFormat="1" applyFont="1" applyFill="1" applyBorder="1" applyAlignment="1">
      <alignment vertical="top"/>
    </xf>
    <xf numFmtId="166" fontId="13" fillId="9" borderId="44" xfId="0" applyNumberFormat="1" applyFont="1" applyFill="1" applyBorder="1" applyAlignment="1">
      <alignment vertical="top"/>
    </xf>
    <xf numFmtId="0" fontId="13" fillId="0" borderId="45" xfId="0" applyFont="1" applyBorder="1" applyAlignment="1">
      <alignment horizontal="center" vertical="top"/>
    </xf>
    <xf numFmtId="0" fontId="13" fillId="0" borderId="46" xfId="0" applyFont="1" applyBorder="1" applyAlignment="1">
      <alignment horizontal="center" vertical="top"/>
    </xf>
    <xf numFmtId="0" fontId="9" fillId="0" borderId="47" xfId="0" applyFont="1" applyBorder="1"/>
    <xf numFmtId="165" fontId="4" fillId="5" borderId="48" xfId="0" applyNumberFormat="1" applyFont="1" applyFill="1" applyBorder="1" applyAlignment="1">
      <alignment vertical="top"/>
    </xf>
    <xf numFmtId="166" fontId="13" fillId="0" borderId="49" xfId="0" applyNumberFormat="1" applyFont="1" applyBorder="1" applyAlignment="1">
      <alignment vertical="top"/>
    </xf>
    <xf numFmtId="166" fontId="13" fillId="0" borderId="0" xfId="0" applyNumberFormat="1" applyFont="1" applyAlignment="1">
      <alignment vertical="top"/>
    </xf>
    <xf numFmtId="166" fontId="13" fillId="0" borderId="0" xfId="0" applyNumberFormat="1" applyFont="1"/>
    <xf numFmtId="166" fontId="13" fillId="0" borderId="50" xfId="0" applyNumberFormat="1" applyFont="1" applyBorder="1"/>
    <xf numFmtId="166" fontId="13" fillId="9" borderId="49" xfId="0" applyNumberFormat="1" applyFont="1" applyFill="1" applyBorder="1" applyAlignment="1">
      <alignment vertical="top"/>
    </xf>
    <xf numFmtId="166" fontId="13" fillId="9" borderId="0" xfId="0" applyNumberFormat="1" applyFont="1" applyFill="1" applyAlignment="1">
      <alignment vertical="top"/>
    </xf>
    <xf numFmtId="0" fontId="13" fillId="0" borderId="4" xfId="0" applyFont="1" applyBorder="1" applyAlignment="1">
      <alignment horizontal="center" vertical="top"/>
    </xf>
    <xf numFmtId="0" fontId="13" fillId="0" borderId="51" xfId="0" applyFont="1" applyBorder="1" applyAlignment="1">
      <alignment horizontal="center" vertical="top"/>
    </xf>
    <xf numFmtId="0" fontId="14" fillId="0" borderId="4" xfId="0" applyFont="1" applyBorder="1" applyAlignment="1">
      <alignment vertical="top"/>
    </xf>
    <xf numFmtId="166" fontId="13" fillId="0" borderId="51" xfId="0" applyNumberFormat="1" applyFont="1" applyBorder="1" applyAlignment="1">
      <alignment horizontal="center" vertical="top"/>
    </xf>
    <xf numFmtId="0" fontId="9" fillId="0" borderId="52" xfId="0" applyFont="1" applyBorder="1"/>
    <xf numFmtId="165" fontId="4" fillId="5" borderId="53" xfId="0" applyNumberFormat="1" applyFont="1" applyFill="1" applyBorder="1" applyAlignment="1">
      <alignment vertical="top"/>
    </xf>
    <xf numFmtId="166" fontId="13" fillId="0" borderId="54" xfId="0" applyNumberFormat="1" applyFont="1" applyBorder="1" applyAlignment="1">
      <alignment vertical="top"/>
    </xf>
    <xf numFmtId="166" fontId="13" fillId="0" borderId="55" xfId="0" applyNumberFormat="1" applyFont="1" applyBorder="1" applyAlignment="1">
      <alignment vertical="top"/>
    </xf>
    <xf numFmtId="166" fontId="13" fillId="0" borderId="55" xfId="0" applyNumberFormat="1" applyFont="1" applyBorder="1"/>
    <xf numFmtId="166" fontId="13" fillId="0" borderId="56" xfId="0" applyNumberFormat="1" applyFont="1" applyBorder="1"/>
    <xf numFmtId="166" fontId="13" fillId="9" borderId="54" xfId="0" applyNumberFormat="1" applyFont="1" applyFill="1" applyBorder="1" applyAlignment="1">
      <alignment vertical="top"/>
    </xf>
    <xf numFmtId="166" fontId="13" fillId="9" borderId="55" xfId="0" applyNumberFormat="1" applyFont="1" applyFill="1" applyBorder="1" applyAlignment="1">
      <alignment vertical="top"/>
    </xf>
    <xf numFmtId="0" fontId="13" fillId="0" borderId="57" xfId="0" applyFont="1" applyBorder="1" applyAlignment="1">
      <alignment horizontal="center" vertical="top"/>
    </xf>
    <xf numFmtId="166" fontId="13" fillId="0" borderId="58" xfId="0" applyNumberFormat="1" applyFont="1" applyBorder="1" applyAlignment="1">
      <alignment horizontal="center" vertical="top"/>
    </xf>
    <xf numFmtId="0" fontId="6" fillId="0" borderId="1" xfId="0" applyFont="1" applyBorder="1" applyAlignment="1">
      <alignment vertical="top"/>
    </xf>
    <xf numFmtId="166" fontId="4" fillId="0" borderId="32" xfId="0" applyNumberFormat="1" applyFont="1" applyBorder="1" applyAlignment="1">
      <alignment vertical="top"/>
    </xf>
    <xf numFmtId="166" fontId="13" fillId="0" borderId="59" xfId="0" applyNumberFormat="1" applyFont="1" applyBorder="1" applyAlignment="1">
      <alignment vertical="top"/>
    </xf>
    <xf numFmtId="166" fontId="13" fillId="0" borderId="60" xfId="0" applyNumberFormat="1" applyFont="1" applyBorder="1" applyAlignment="1">
      <alignment vertical="top"/>
    </xf>
    <xf numFmtId="166" fontId="13" fillId="0" borderId="60" xfId="0" applyNumberFormat="1" applyFont="1" applyBorder="1"/>
    <xf numFmtId="166" fontId="13" fillId="0" borderId="61" xfId="0" applyNumberFormat="1" applyFont="1" applyBorder="1"/>
    <xf numFmtId="166" fontId="13" fillId="9" borderId="59" xfId="0" applyNumberFormat="1" applyFont="1" applyFill="1" applyBorder="1" applyAlignment="1">
      <alignment vertical="top"/>
    </xf>
    <xf numFmtId="166" fontId="13" fillId="9" borderId="60" xfId="0" applyNumberFormat="1" applyFont="1" applyFill="1" applyBorder="1" applyAlignment="1">
      <alignment vertical="top"/>
    </xf>
    <xf numFmtId="166" fontId="13" fillId="9" borderId="61" xfId="0" applyNumberFormat="1" applyFont="1" applyFill="1" applyBorder="1" applyAlignment="1">
      <alignment vertical="top"/>
    </xf>
    <xf numFmtId="0" fontId="13" fillId="0" borderId="59" xfId="0" applyFont="1" applyBorder="1" applyAlignment="1">
      <alignment horizontal="center" vertical="top"/>
    </xf>
    <xf numFmtId="166" fontId="13" fillId="0" borderId="46" xfId="0" applyNumberFormat="1" applyFont="1" applyBorder="1" applyAlignment="1">
      <alignment horizontal="center" vertical="top"/>
    </xf>
    <xf numFmtId="166" fontId="13" fillId="0" borderId="62" xfId="0" applyNumberFormat="1" applyFont="1" applyBorder="1" applyAlignment="1">
      <alignment vertical="top"/>
    </xf>
    <xf numFmtId="166" fontId="13" fillId="0" borderId="1" xfId="0" applyNumberFormat="1" applyFont="1" applyBorder="1"/>
    <xf numFmtId="166" fontId="13" fillId="0" borderId="63" xfId="0" applyNumberFormat="1" applyFont="1" applyBorder="1"/>
    <xf numFmtId="166" fontId="13" fillId="9" borderId="62" xfId="0" applyNumberFormat="1" applyFont="1" applyFill="1" applyBorder="1" applyAlignment="1">
      <alignment vertical="top"/>
    </xf>
    <xf numFmtId="166" fontId="13" fillId="9" borderId="1" xfId="0" applyNumberFormat="1" applyFont="1" applyFill="1" applyBorder="1" applyAlignment="1">
      <alignment vertical="top"/>
    </xf>
    <xf numFmtId="166" fontId="13" fillId="9" borderId="63" xfId="0" applyNumberFormat="1" applyFont="1" applyFill="1" applyBorder="1" applyAlignment="1">
      <alignment vertical="top"/>
    </xf>
    <xf numFmtId="0" fontId="13" fillId="0" borderId="62" xfId="0" applyFont="1" applyBorder="1" applyAlignment="1">
      <alignment horizontal="center" vertical="top"/>
    </xf>
    <xf numFmtId="166" fontId="13" fillId="0" borderId="64" xfId="0" applyNumberFormat="1" applyFont="1" applyBorder="1" applyAlignment="1">
      <alignment vertical="top"/>
    </xf>
    <xf numFmtId="166" fontId="13" fillId="0" borderId="65" xfId="0" applyNumberFormat="1" applyFont="1" applyBorder="1" applyAlignment="1">
      <alignment vertical="top"/>
    </xf>
    <xf numFmtId="166" fontId="13" fillId="0" borderId="65" xfId="0" applyNumberFormat="1" applyFont="1" applyBorder="1"/>
    <xf numFmtId="166" fontId="13" fillId="0" borderId="66" xfId="0" applyNumberFormat="1" applyFont="1" applyBorder="1"/>
    <xf numFmtId="166" fontId="13" fillId="9" borderId="64" xfId="0" applyNumberFormat="1" applyFont="1" applyFill="1" applyBorder="1" applyAlignment="1">
      <alignment vertical="top"/>
    </xf>
    <xf numFmtId="166" fontId="13" fillId="9" borderId="65" xfId="0" applyNumberFormat="1" applyFont="1" applyFill="1" applyBorder="1" applyAlignment="1">
      <alignment vertical="top"/>
    </xf>
    <xf numFmtId="166" fontId="13" fillId="9" borderId="66" xfId="0" applyNumberFormat="1" applyFont="1" applyFill="1" applyBorder="1" applyAlignment="1">
      <alignment vertical="top"/>
    </xf>
    <xf numFmtId="0" fontId="13" fillId="0" borderId="64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Hedge Strategy Comparison (±5% S_T)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Sensitivity!$A$1</c:f>
              <c:strCache>
                <c:ptCount val="1"/>
                <c:pt idx="0">
                  <c:v>S_T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Sensitivity!$A$2:$A$12</c:f>
              <c:numCache>
                <c:formatCode>General</c:formatCode>
                <c:ptCount val="11"/>
                <c:pt idx="0">
                  <c:v>1.1138749999999999</c:v>
                </c:pt>
                <c:pt idx="1">
                  <c:v>1.1250137499999999</c:v>
                </c:pt>
                <c:pt idx="2">
                  <c:v>1.1362638875</c:v>
                </c:pt>
                <c:pt idx="3">
                  <c:v>1.1476265263750001</c:v>
                </c:pt>
                <c:pt idx="4">
                  <c:v>1.1591027916387502</c:v>
                </c:pt>
                <c:pt idx="5">
                  <c:v>1.1706938195551377</c:v>
                </c:pt>
                <c:pt idx="6">
                  <c:v>1.1824007577506892</c:v>
                </c:pt>
                <c:pt idx="7">
                  <c:v>1.1942247653281961</c:v>
                </c:pt>
                <c:pt idx="8">
                  <c:v>1.2061670129814781</c:v>
                </c:pt>
                <c:pt idx="9">
                  <c:v>1.218228683111293</c:v>
                </c:pt>
                <c:pt idx="10">
                  <c:v>1.230410969942406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5E-464F-BCA6-E5E4A6920CD5}"/>
            </c:ext>
          </c:extLst>
        </c:ser>
        <c:ser>
          <c:idx val="1"/>
          <c:order val="1"/>
          <c:tx>
            <c:strRef>
              <c:f>Sensitivity!$B$1</c:f>
              <c:strCache>
                <c:ptCount val="1"/>
                <c:pt idx="0">
                  <c:v>NoHedge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Sensitivity!$B$2:$B$12</c:f>
              <c:numCache>
                <c:formatCode>General</c:formatCode>
                <c:ptCount val="11"/>
                <c:pt idx="0">
                  <c:v>8911000</c:v>
                </c:pt>
                <c:pt idx="1">
                  <c:v>9000110</c:v>
                </c:pt>
                <c:pt idx="2">
                  <c:v>9090111.0999999996</c:v>
                </c:pt>
                <c:pt idx="3">
                  <c:v>9181012.2110000011</c:v>
                </c:pt>
                <c:pt idx="4">
                  <c:v>9272822.3331100009</c:v>
                </c:pt>
                <c:pt idx="5">
                  <c:v>9365550.5564411022</c:v>
                </c:pt>
                <c:pt idx="6">
                  <c:v>9459206.0620055143</c:v>
                </c:pt>
                <c:pt idx="7">
                  <c:v>9553798.1226255689</c:v>
                </c:pt>
                <c:pt idx="8">
                  <c:v>9649336.103851825</c:v>
                </c:pt>
                <c:pt idx="9">
                  <c:v>9745829.4648903441</c:v>
                </c:pt>
                <c:pt idx="10">
                  <c:v>9843287.7595392484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5E-464F-BCA6-E5E4A6920CD5}"/>
            </c:ext>
          </c:extLst>
        </c:ser>
        <c:ser>
          <c:idx val="2"/>
          <c:order val="2"/>
          <c:tx>
            <c:strRef>
              <c:f>Sensitivity!$C$1</c:f>
              <c:strCache>
                <c:ptCount val="1"/>
                <c:pt idx="0">
                  <c:v>Forward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Sensitivity!$C$2:$C$12</c:f>
              <c:numCache>
                <c:formatCode>General</c:formatCode>
                <c:ptCount val="11"/>
                <c:pt idx="0">
                  <c:v>8712000</c:v>
                </c:pt>
                <c:pt idx="1">
                  <c:v>8712000</c:v>
                </c:pt>
                <c:pt idx="2">
                  <c:v>8712000</c:v>
                </c:pt>
                <c:pt idx="3">
                  <c:v>8712000</c:v>
                </c:pt>
                <c:pt idx="4">
                  <c:v>8712000</c:v>
                </c:pt>
                <c:pt idx="5">
                  <c:v>8712000</c:v>
                </c:pt>
                <c:pt idx="6">
                  <c:v>8712000</c:v>
                </c:pt>
                <c:pt idx="7">
                  <c:v>8712000</c:v>
                </c:pt>
                <c:pt idx="8">
                  <c:v>8712000</c:v>
                </c:pt>
                <c:pt idx="9">
                  <c:v>8712000</c:v>
                </c:pt>
                <c:pt idx="10">
                  <c:v>8712000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5E-464F-BCA6-E5E4A6920CD5}"/>
            </c:ext>
          </c:extLst>
        </c:ser>
        <c:ser>
          <c:idx val="3"/>
          <c:order val="3"/>
          <c:tx>
            <c:strRef>
              <c:f>Sensitivity!$D$1</c:f>
              <c:strCache>
                <c:ptCount val="1"/>
                <c:pt idx="0">
                  <c:v>MoneyMarket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Sensitivity!$D$2:$D$12</c:f>
              <c:numCache>
                <c:formatCode>General</c:formatCode>
                <c:ptCount val="11"/>
                <c:pt idx="0">
                  <c:v>9453858.2677165363</c:v>
                </c:pt>
                <c:pt idx="1">
                  <c:v>9453858.2677165363</c:v>
                </c:pt>
                <c:pt idx="2">
                  <c:v>9453858.2677165363</c:v>
                </c:pt>
                <c:pt idx="3">
                  <c:v>9453858.2677165363</c:v>
                </c:pt>
                <c:pt idx="4">
                  <c:v>9453858.2677165363</c:v>
                </c:pt>
                <c:pt idx="5">
                  <c:v>9453858.2677165363</c:v>
                </c:pt>
                <c:pt idx="6">
                  <c:v>9453858.2677165363</c:v>
                </c:pt>
                <c:pt idx="7">
                  <c:v>9453858.2677165363</c:v>
                </c:pt>
                <c:pt idx="8">
                  <c:v>9453858.2677165363</c:v>
                </c:pt>
                <c:pt idx="9">
                  <c:v>9453858.2677165363</c:v>
                </c:pt>
                <c:pt idx="10">
                  <c:v>9453858.2677165363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A5E-464F-BCA6-E5E4A6920CD5}"/>
            </c:ext>
          </c:extLst>
        </c:ser>
        <c:ser>
          <c:idx val="4"/>
          <c:order val="4"/>
          <c:tx>
            <c:strRef>
              <c:f>Sensitivity!$E$1</c:f>
              <c:strCache>
                <c:ptCount val="1"/>
                <c:pt idx="0">
                  <c:v>PutNet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Sensitivity!$E$2:$E$12</c:f>
              <c:numCache>
                <c:formatCode>General</c:formatCode>
                <c:ptCount val="11"/>
                <c:pt idx="0">
                  <c:v>8751000</c:v>
                </c:pt>
                <c:pt idx="1">
                  <c:v>8840110</c:v>
                </c:pt>
                <c:pt idx="2">
                  <c:v>8930111.0999999996</c:v>
                </c:pt>
                <c:pt idx="3">
                  <c:v>9021012.2110000011</c:v>
                </c:pt>
                <c:pt idx="4">
                  <c:v>9112822.3331100009</c:v>
                </c:pt>
                <c:pt idx="5">
                  <c:v>9205550.5564411022</c:v>
                </c:pt>
                <c:pt idx="6">
                  <c:v>9299206.0620055143</c:v>
                </c:pt>
                <c:pt idx="7">
                  <c:v>9393798.1226255689</c:v>
                </c:pt>
                <c:pt idx="8">
                  <c:v>9489336.103851825</c:v>
                </c:pt>
                <c:pt idx="9">
                  <c:v>9585829.4648903441</c:v>
                </c:pt>
                <c:pt idx="10">
                  <c:v>9683287.7595392484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A5E-464F-BCA6-E5E4A6920CD5}"/>
            </c:ext>
          </c:extLst>
        </c:ser>
        <c:ser>
          <c:idx val="5"/>
          <c:order val="5"/>
          <c:tx>
            <c:strRef>
              <c:f>Sensitivity!$F$1</c:f>
              <c:strCache>
                <c:ptCount val="1"/>
                <c:pt idx="0">
                  <c:v>CallNet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Sensitivity!$F$2:$F$12</c:f>
              <c:numCache>
                <c:formatCode>General</c:formatCode>
                <c:ptCount val="11"/>
                <c:pt idx="0">
                  <c:v>8751000</c:v>
                </c:pt>
                <c:pt idx="1">
                  <c:v>8840110</c:v>
                </c:pt>
                <c:pt idx="2">
                  <c:v>8930111.0999999996</c:v>
                </c:pt>
                <c:pt idx="3">
                  <c:v>9021012.2110000011</c:v>
                </c:pt>
                <c:pt idx="4">
                  <c:v>9112822.3331100009</c:v>
                </c:pt>
                <c:pt idx="5">
                  <c:v>9205550.5564411022</c:v>
                </c:pt>
                <c:pt idx="6">
                  <c:v>9299206.0620055143</c:v>
                </c:pt>
                <c:pt idx="7">
                  <c:v>9393798.1226255689</c:v>
                </c:pt>
                <c:pt idx="8">
                  <c:v>9489336.103851825</c:v>
                </c:pt>
                <c:pt idx="9">
                  <c:v>9585829.4648903441</c:v>
                </c:pt>
                <c:pt idx="10">
                  <c:v>9683287.7595392484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A5E-464F-BCA6-E5E4A6920C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0047615"/>
        <c:axId val="1975300143"/>
      </c:lineChart>
      <c:catAx>
        <c:axId val="21300476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5300143"/>
        <c:crosses val="autoZero"/>
        <c:auto val="1"/>
        <c:lblAlgn val="ctr"/>
        <c:lblOffset val="100"/>
        <c:noMultiLvlLbl val="0"/>
      </c:catAx>
      <c:valAx>
        <c:axId val="1975300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USD Proceeds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047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215900</xdr:colOff>
      <xdr:row>13</xdr:row>
      <xdr:rowOff>63500</xdr:rowOff>
    </xdr:from>
    <xdr:to>
      <xdr:col>5</xdr:col>
      <xdr:colOff>558800</xdr:colOff>
      <xdr:row>26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B49520D-D194-860D-BD0A-00FBBF96E9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97228-2D88-3F4C-8DFB-9614C5F68723}">
  <dimension ref="A1:B10"/>
  <sheetViews>
    <sheetView zoomScale="162" workbookViewId="0">
      <selection activeCell="B2" sqref="B2"/>
    </sheetView>
  </sheetViews>
  <sheetFormatPr baseColWidth="10" defaultRowHeight="16" x14ac:dyDescent="0.2"/>
  <sheetData>
    <row r="1" spans="1:2" x14ac:dyDescent="0.2">
      <c r="A1" s="1" t="s">
        <v>0</v>
      </c>
      <c r="B1" s="1">
        <v>8000000</v>
      </c>
    </row>
    <row r="2" spans="1:2" x14ac:dyDescent="0.2">
      <c r="A2" s="1" t="s">
        <v>1</v>
      </c>
      <c r="B2" s="1">
        <v>1.1725000000000001</v>
      </c>
    </row>
    <row r="3" spans="1:2" x14ac:dyDescent="0.2">
      <c r="A3" s="1" t="s">
        <v>2</v>
      </c>
      <c r="B3" s="1">
        <v>1.089</v>
      </c>
    </row>
    <row r="4" spans="1:2" x14ac:dyDescent="0.2">
      <c r="A4" s="1" t="s">
        <v>3</v>
      </c>
      <c r="B4" s="1">
        <v>3.6799999999999999E-2</v>
      </c>
    </row>
    <row r="5" spans="1:2" ht="17" x14ac:dyDescent="0.25">
      <c r="A5" s="1" t="s">
        <v>4</v>
      </c>
      <c r="B5" s="2">
        <v>2.87E-2</v>
      </c>
    </row>
    <row r="6" spans="1:2" x14ac:dyDescent="0.2">
      <c r="A6" s="1" t="s">
        <v>5</v>
      </c>
      <c r="B6" s="1">
        <v>1.089</v>
      </c>
    </row>
    <row r="7" spans="1:2" x14ac:dyDescent="0.2">
      <c r="A7" s="1" t="s">
        <v>6</v>
      </c>
      <c r="B7" s="1">
        <v>0.02</v>
      </c>
    </row>
    <row r="8" spans="1:2" x14ac:dyDescent="0.2">
      <c r="A8" s="1" t="s">
        <v>7</v>
      </c>
      <c r="B8" s="1">
        <v>1.089</v>
      </c>
    </row>
    <row r="9" spans="1:2" x14ac:dyDescent="0.2">
      <c r="A9" s="1" t="s">
        <v>8</v>
      </c>
      <c r="B9" s="1">
        <v>0.02</v>
      </c>
    </row>
    <row r="10" spans="1:2" x14ac:dyDescent="0.2">
      <c r="A10" s="1" t="s">
        <v>9</v>
      </c>
      <c r="B10" s="1">
        <v>365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E6569-48D4-0B4E-83B9-F20EA7EB3890}">
  <dimension ref="B2:C7"/>
  <sheetViews>
    <sheetView workbookViewId="0">
      <selection activeCell="B3" sqref="B3"/>
    </sheetView>
  </sheetViews>
  <sheetFormatPr baseColWidth="10" defaultRowHeight="16" x14ac:dyDescent="0.2"/>
  <cols>
    <col min="2" max="2" width="17" bestFit="1" customWidth="1"/>
  </cols>
  <sheetData>
    <row r="2" spans="2:3" x14ac:dyDescent="0.2">
      <c r="B2" s="3" t="s">
        <v>10</v>
      </c>
      <c r="C2" s="3">
        <f xml:space="preserve"> T_DAYS / 365</f>
        <v>1</v>
      </c>
    </row>
    <row r="3" spans="2:3" x14ac:dyDescent="0.2">
      <c r="B3" s="3" t="s">
        <v>11</v>
      </c>
      <c r="C3" s="3">
        <f xml:space="preserve"> FC_AMT * F0_in</f>
        <v>8712000</v>
      </c>
    </row>
    <row r="4" spans="2:3" x14ac:dyDescent="0.2">
      <c r="B4" s="3" t="s">
        <v>12</v>
      </c>
      <c r="C4" s="3">
        <f xml:space="preserve"> FC_AMT / (1 + R_FC)</f>
        <v>7776805.677068145</v>
      </c>
    </row>
    <row r="5" spans="2:3" x14ac:dyDescent="0.2">
      <c r="B5" s="3" t="s">
        <v>13</v>
      </c>
      <c r="C5" s="3">
        <f xml:space="preserve"> PV_FC * S0_in</f>
        <v>9118304.6563624013</v>
      </c>
    </row>
    <row r="6" spans="2:3" x14ac:dyDescent="0.2">
      <c r="B6" s="3" t="s">
        <v>14</v>
      </c>
      <c r="C6" s="3">
        <f>USD_now * (1 + R_USD)</f>
        <v>9453858.2677165363</v>
      </c>
    </row>
    <row r="7" spans="2:3" x14ac:dyDescent="0.2">
      <c r="B7" s="3" t="s">
        <v>15</v>
      </c>
      <c r="C7" s="3" cm="1">
        <f t="array" ref="C7" xml:space="preserve"> ABS(USD_mm_proceeds - Forward_USD)</f>
        <v>741858.2677165363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15012-D811-4C4A-B425-051002E06023}">
  <dimension ref="A1:F12"/>
  <sheetViews>
    <sheetView workbookViewId="0">
      <selection activeCell="H22" sqref="H22"/>
    </sheetView>
  </sheetViews>
  <sheetFormatPr baseColWidth="10" defaultRowHeight="16" x14ac:dyDescent="0.2"/>
  <cols>
    <col min="4" max="4" width="12.1640625" bestFit="1" customWidth="1"/>
  </cols>
  <sheetData>
    <row r="1" spans="1:6" x14ac:dyDescent="0.2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</row>
    <row r="2" spans="1:6" x14ac:dyDescent="0.2">
      <c r="A2" cm="1">
        <f t="array" ref="A2" xml:space="preserve"> S0_in*0.95</f>
        <v>1.1138749999999999</v>
      </c>
      <c r="B2" cm="1">
        <f t="array" ref="B2" xml:space="preserve"> FC_AMT * A2</f>
        <v>8911000</v>
      </c>
      <c r="C2">
        <f t="shared" ref="C2:C12" si="0" xml:space="preserve"> FC_AMT * F0_in</f>
        <v>8712000</v>
      </c>
      <c r="D2">
        <f xml:space="preserve"> [0]!USD_mm_proceeds</f>
        <v>9453858.2677165363</v>
      </c>
      <c r="E2">
        <f t="shared" ref="E2" si="1" xml:space="preserve"> FC_AMT * MAX(A2, K_PUT) - PREM_PUT * FC_AMT</f>
        <v>8751000</v>
      </c>
      <c r="F2" cm="1">
        <f t="array" ref="F2" xml:space="preserve"> FC_AMT * MAX(A2, K_CALL) - PREM_CALL * FC_AMT</f>
        <v>8751000</v>
      </c>
    </row>
    <row r="3" spans="1:6" x14ac:dyDescent="0.2">
      <c r="A3">
        <f xml:space="preserve"> $A2 * 1.01</f>
        <v>1.1250137499999999</v>
      </c>
      <c r="B3" cm="1">
        <f t="array" ref="B3" xml:space="preserve"> FC_AMT * A3</f>
        <v>9000110</v>
      </c>
      <c r="C3">
        <f t="shared" si="0"/>
        <v>8712000</v>
      </c>
      <c r="D3">
        <f xml:space="preserve"> [0]!USD_mm_proceeds</f>
        <v>9453858.2677165363</v>
      </c>
      <c r="E3">
        <f t="shared" ref="E3:E12" si="2" xml:space="preserve"> FC_AMT * MAX(A3, K_PUT) - PREM_PUT * FC_AMT</f>
        <v>8840110</v>
      </c>
      <c r="F3" cm="1">
        <f t="array" ref="F3" xml:space="preserve"> FC_AMT * MAX(A3, K_CALL) - PREM_CALL * FC_AMT</f>
        <v>8840110</v>
      </c>
    </row>
    <row r="4" spans="1:6" x14ac:dyDescent="0.2">
      <c r="A4">
        <f t="shared" ref="A4:A12" si="3" xml:space="preserve"> $A3 * 1.01</f>
        <v>1.1362638875</v>
      </c>
      <c r="B4" cm="1">
        <f t="array" ref="B4" xml:space="preserve"> FC_AMT * A4</f>
        <v>9090111.0999999996</v>
      </c>
      <c r="C4">
        <f t="shared" si="0"/>
        <v>8712000</v>
      </c>
      <c r="D4">
        <f xml:space="preserve"> [0]!USD_mm_proceeds</f>
        <v>9453858.2677165363</v>
      </c>
      <c r="E4">
        <f t="shared" si="2"/>
        <v>8930111.0999999996</v>
      </c>
      <c r="F4" cm="1">
        <f t="array" ref="F4" xml:space="preserve"> FC_AMT * MAX(A4, K_CALL) - PREM_CALL * FC_AMT</f>
        <v>8930111.0999999996</v>
      </c>
    </row>
    <row r="5" spans="1:6" x14ac:dyDescent="0.2">
      <c r="A5">
        <f t="shared" si="3"/>
        <v>1.1476265263750001</v>
      </c>
      <c r="B5" cm="1">
        <f t="array" ref="B5" xml:space="preserve"> FC_AMT * A5</f>
        <v>9181012.2110000011</v>
      </c>
      <c r="C5">
        <f t="shared" si="0"/>
        <v>8712000</v>
      </c>
      <c r="D5">
        <f xml:space="preserve"> [0]!USD_mm_proceeds</f>
        <v>9453858.2677165363</v>
      </c>
      <c r="E5">
        <f t="shared" si="2"/>
        <v>9021012.2110000011</v>
      </c>
      <c r="F5" cm="1">
        <f t="array" ref="F5" xml:space="preserve"> FC_AMT * MAX(A5, K_CALL) - PREM_CALL * FC_AMT</f>
        <v>9021012.2110000011</v>
      </c>
    </row>
    <row r="6" spans="1:6" x14ac:dyDescent="0.2">
      <c r="A6">
        <f t="shared" si="3"/>
        <v>1.1591027916387502</v>
      </c>
      <c r="B6" cm="1">
        <f t="array" ref="B6" xml:space="preserve"> FC_AMT * A6</f>
        <v>9272822.3331100009</v>
      </c>
      <c r="C6">
        <f t="shared" si="0"/>
        <v>8712000</v>
      </c>
      <c r="D6">
        <f xml:space="preserve"> [0]!USD_mm_proceeds</f>
        <v>9453858.2677165363</v>
      </c>
      <c r="E6">
        <f t="shared" si="2"/>
        <v>9112822.3331100009</v>
      </c>
      <c r="F6" cm="1">
        <f t="array" ref="F6" xml:space="preserve"> FC_AMT * MAX(A6, K_CALL) - PREM_CALL * FC_AMT</f>
        <v>9112822.3331100009</v>
      </c>
    </row>
    <row r="7" spans="1:6" x14ac:dyDescent="0.2">
      <c r="A7">
        <f t="shared" si="3"/>
        <v>1.1706938195551377</v>
      </c>
      <c r="B7" cm="1">
        <f t="array" ref="B7" xml:space="preserve"> FC_AMT * A7</f>
        <v>9365550.5564411022</v>
      </c>
      <c r="C7">
        <f t="shared" si="0"/>
        <v>8712000</v>
      </c>
      <c r="D7">
        <f xml:space="preserve"> [0]!USD_mm_proceeds</f>
        <v>9453858.2677165363</v>
      </c>
      <c r="E7">
        <f t="shared" si="2"/>
        <v>9205550.5564411022</v>
      </c>
      <c r="F7" cm="1">
        <f t="array" ref="F7" xml:space="preserve"> FC_AMT * MAX(A7, K_CALL) - PREM_CALL * FC_AMT</f>
        <v>9205550.5564411022</v>
      </c>
    </row>
    <row r="8" spans="1:6" x14ac:dyDescent="0.2">
      <c r="A8">
        <f t="shared" si="3"/>
        <v>1.1824007577506892</v>
      </c>
      <c r="B8" cm="1">
        <f t="array" ref="B8" xml:space="preserve"> FC_AMT * A8</f>
        <v>9459206.0620055143</v>
      </c>
      <c r="C8">
        <f t="shared" si="0"/>
        <v>8712000</v>
      </c>
      <c r="D8">
        <f xml:space="preserve"> [0]!USD_mm_proceeds</f>
        <v>9453858.2677165363</v>
      </c>
      <c r="E8">
        <f t="shared" si="2"/>
        <v>9299206.0620055143</v>
      </c>
      <c r="F8" cm="1">
        <f t="array" ref="F8" xml:space="preserve"> FC_AMT * MAX(A8, K_CALL) - PREM_CALL * FC_AMT</f>
        <v>9299206.0620055143</v>
      </c>
    </row>
    <row r="9" spans="1:6" x14ac:dyDescent="0.2">
      <c r="A9">
        <f t="shared" si="3"/>
        <v>1.1942247653281961</v>
      </c>
      <c r="B9" cm="1">
        <f t="array" ref="B9" xml:space="preserve"> FC_AMT * A9</f>
        <v>9553798.1226255689</v>
      </c>
      <c r="C9">
        <f t="shared" si="0"/>
        <v>8712000</v>
      </c>
      <c r="D9">
        <f xml:space="preserve"> [0]!USD_mm_proceeds</f>
        <v>9453858.2677165363</v>
      </c>
      <c r="E9">
        <f t="shared" si="2"/>
        <v>9393798.1226255689</v>
      </c>
      <c r="F9" cm="1">
        <f t="array" ref="F9" xml:space="preserve"> FC_AMT * MAX(A9, K_CALL) - PREM_CALL * FC_AMT</f>
        <v>9393798.1226255689</v>
      </c>
    </row>
    <row r="10" spans="1:6" x14ac:dyDescent="0.2">
      <c r="A10">
        <f t="shared" si="3"/>
        <v>1.2061670129814781</v>
      </c>
      <c r="B10" cm="1">
        <f t="array" ref="B10" xml:space="preserve"> FC_AMT * A10</f>
        <v>9649336.103851825</v>
      </c>
      <c r="C10">
        <f t="shared" si="0"/>
        <v>8712000</v>
      </c>
      <c r="D10">
        <f xml:space="preserve"> [0]!USD_mm_proceeds</f>
        <v>9453858.2677165363</v>
      </c>
      <c r="E10">
        <f t="shared" si="2"/>
        <v>9489336.103851825</v>
      </c>
      <c r="F10" cm="1">
        <f t="array" ref="F10" xml:space="preserve"> FC_AMT * MAX(A10, K_CALL) - PREM_CALL * FC_AMT</f>
        <v>9489336.103851825</v>
      </c>
    </row>
    <row r="11" spans="1:6" x14ac:dyDescent="0.2">
      <c r="A11">
        <f t="shared" si="3"/>
        <v>1.218228683111293</v>
      </c>
      <c r="B11" cm="1">
        <f t="array" ref="B11" xml:space="preserve"> FC_AMT * A11</f>
        <v>9745829.4648903441</v>
      </c>
      <c r="C11">
        <f t="shared" si="0"/>
        <v>8712000</v>
      </c>
      <c r="D11">
        <f xml:space="preserve"> [0]!USD_mm_proceeds</f>
        <v>9453858.2677165363</v>
      </c>
      <c r="E11">
        <f t="shared" si="2"/>
        <v>9585829.4648903441</v>
      </c>
      <c r="F11" cm="1">
        <f t="array" ref="F11" xml:space="preserve"> FC_AMT * MAX(A11, K_CALL) - PREM_CALL * FC_AMT</f>
        <v>9585829.4648903441</v>
      </c>
    </row>
    <row r="12" spans="1:6" x14ac:dyDescent="0.2">
      <c r="A12">
        <f t="shared" si="3"/>
        <v>1.230410969942406</v>
      </c>
      <c r="B12" cm="1">
        <f t="array" ref="B12" xml:space="preserve"> FC_AMT * A12</f>
        <v>9843287.7595392484</v>
      </c>
      <c r="C12">
        <f t="shared" si="0"/>
        <v>8712000</v>
      </c>
      <c r="D12">
        <f xml:space="preserve"> [0]!USD_mm_proceeds</f>
        <v>9453858.2677165363</v>
      </c>
      <c r="E12">
        <f t="shared" si="2"/>
        <v>9683287.7595392484</v>
      </c>
      <c r="F12" cm="1">
        <f t="array" ref="F12" xml:space="preserve"> FC_AMT * MAX(A12, K_CALL) - PREM_CALL * FC_AMT</f>
        <v>9683287.7595392484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22E0-C4B7-7541-BD1C-8B29F8283B20}">
  <dimension ref="A1:B13"/>
  <sheetViews>
    <sheetView zoomScale="178" workbookViewId="0">
      <selection activeCell="C6" sqref="C6"/>
    </sheetView>
  </sheetViews>
  <sheetFormatPr baseColWidth="10" defaultRowHeight="16" x14ac:dyDescent="0.2"/>
  <cols>
    <col min="1" max="1" width="23.33203125" bestFit="1" customWidth="1"/>
    <col min="2" max="2" width="14" bestFit="1" customWidth="1"/>
  </cols>
  <sheetData>
    <row r="1" spans="1:2" x14ac:dyDescent="0.2">
      <c r="A1" s="4" t="s">
        <v>22</v>
      </c>
      <c r="B1" s="4" t="s">
        <v>23</v>
      </c>
    </row>
    <row r="2" spans="1:2" x14ac:dyDescent="0.2">
      <c r="A2" t="s">
        <v>24</v>
      </c>
      <c r="B2" s="6">
        <f>Calculations!C3</f>
        <v>8712000</v>
      </c>
    </row>
    <row r="3" spans="1:2" x14ac:dyDescent="0.2">
      <c r="A3" t="s">
        <v>25</v>
      </c>
      <c r="B3" s="6">
        <f>Calculations!C6</f>
        <v>9453858.2677165363</v>
      </c>
    </row>
    <row r="4" spans="1:2" x14ac:dyDescent="0.2">
      <c r="A4" t="s">
        <v>26</v>
      </c>
      <c r="B4" s="6">
        <f>Calculations!C7</f>
        <v>741858.2677165363</v>
      </c>
    </row>
    <row r="5" spans="1:2" x14ac:dyDescent="0.2">
      <c r="A5" t="s">
        <v>27</v>
      </c>
      <c r="B5" s="6">
        <f>MIN(Sensitivity!B2:B12)</f>
        <v>8911000</v>
      </c>
    </row>
    <row r="6" spans="1:2" x14ac:dyDescent="0.2">
      <c r="A6" t="s">
        <v>28</v>
      </c>
      <c r="B6" s="6">
        <f>MAX(Sensitivity!B2:B12)</f>
        <v>9843287.7595392484</v>
      </c>
    </row>
    <row r="7" spans="1:2" x14ac:dyDescent="0.2">
      <c r="A7" t="s">
        <v>29</v>
      </c>
      <c r="B7" s="6">
        <f xml:space="preserve"> FC_AMT * K_PUT - PREM_PUT * FC_AMT</f>
        <v>8552000</v>
      </c>
    </row>
    <row r="8" spans="1:2" x14ac:dyDescent="0.2">
      <c r="A8" t="s">
        <v>30</v>
      </c>
      <c r="B8" s="7">
        <f xml:space="preserve"> PREM_PUT * FC_AMT</f>
        <v>160000</v>
      </c>
    </row>
    <row r="9" spans="1:2" x14ac:dyDescent="0.2">
      <c r="A9" s="5" t="s">
        <v>31</v>
      </c>
    </row>
    <row r="10" spans="1:2" x14ac:dyDescent="0.2">
      <c r="A10" t="s">
        <v>32</v>
      </c>
    </row>
    <row r="11" spans="1:2" x14ac:dyDescent="0.2">
      <c r="A11" t="s">
        <v>33</v>
      </c>
    </row>
    <row r="12" spans="1:2" x14ac:dyDescent="0.2">
      <c r="A12" t="s">
        <v>34</v>
      </c>
    </row>
    <row r="13" spans="1:2" x14ac:dyDescent="0.2">
      <c r="A13" t="s">
        <v>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AB987-1048-8C48-B96E-625651613034}">
  <dimension ref="A1:AD1014"/>
  <sheetViews>
    <sheetView zoomScale="60" workbookViewId="0">
      <selection activeCell="I56" sqref="I56"/>
    </sheetView>
  </sheetViews>
  <sheetFormatPr baseColWidth="10" defaultColWidth="12.6640625" defaultRowHeight="16" x14ac:dyDescent="0.2"/>
  <cols>
    <col min="1" max="1" width="3" customWidth="1"/>
    <col min="2" max="2" width="4.5" customWidth="1"/>
    <col min="3" max="3" width="43.6640625" customWidth="1"/>
    <col min="4" max="4" width="33.5" customWidth="1"/>
    <col min="5" max="5" width="26.1640625" customWidth="1"/>
    <col min="6" max="6" width="34.33203125" customWidth="1"/>
    <col min="7" max="7" width="31.33203125" customWidth="1"/>
    <col min="8" max="8" width="48.5" customWidth="1"/>
    <col min="9" max="9" width="34.33203125" customWidth="1"/>
    <col min="10" max="10" width="24" customWidth="1"/>
    <col min="11" max="11" width="33" customWidth="1"/>
    <col min="12" max="12" width="33.1640625" customWidth="1"/>
    <col min="13" max="13" width="39.6640625" customWidth="1"/>
  </cols>
  <sheetData>
    <row r="1" spans="1:30" ht="24" x14ac:dyDescent="0.2">
      <c r="A1" s="8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 spans="1:30" ht="24" x14ac:dyDescent="0.2">
      <c r="A2" s="8"/>
      <c r="B2" s="9"/>
      <c r="C2" s="119" t="s">
        <v>76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spans="1:30" ht="24" x14ac:dyDescent="0.2">
      <c r="A3" s="8"/>
      <c r="B3" s="9"/>
      <c r="C3" s="11"/>
      <c r="D3" s="12"/>
      <c r="E3" s="12"/>
      <c r="F3" s="12"/>
      <c r="G3" s="12"/>
      <c r="H3" s="12"/>
      <c r="I3" s="12"/>
      <c r="J3" s="13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</row>
    <row r="4" spans="1:30" ht="25" thickBot="1" x14ac:dyDescent="0.25">
      <c r="A4" s="8"/>
      <c r="B4" s="9"/>
      <c r="C4" s="14"/>
      <c r="D4" s="14"/>
      <c r="E4" s="14"/>
      <c r="F4" s="14"/>
      <c r="G4" s="9"/>
      <c r="H4" s="14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</row>
    <row r="5" spans="1:30" ht="25" thickTop="1" x14ac:dyDescent="0.3">
      <c r="A5" s="8"/>
      <c r="B5" s="15"/>
      <c r="C5" s="16" t="s">
        <v>36</v>
      </c>
      <c r="D5" s="17"/>
      <c r="E5" s="17"/>
      <c r="F5" s="18" t="s">
        <v>37</v>
      </c>
      <c r="G5" s="19"/>
      <c r="H5" s="20" t="s">
        <v>38</v>
      </c>
      <c r="I5" s="21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</row>
    <row r="6" spans="1:30" ht="24" x14ac:dyDescent="0.25">
      <c r="A6" s="8"/>
      <c r="B6" s="15"/>
      <c r="C6" s="22" t="s">
        <v>39</v>
      </c>
      <c r="D6" s="23"/>
      <c r="E6" s="23"/>
      <c r="F6" s="24">
        <v>8000000</v>
      </c>
      <c r="G6" s="25"/>
      <c r="H6" s="26" t="s">
        <v>40</v>
      </c>
      <c r="I6" s="27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</row>
    <row r="7" spans="1:30" ht="24" x14ac:dyDescent="0.25">
      <c r="A7" s="8"/>
      <c r="B7" s="15"/>
      <c r="C7" s="22" t="s">
        <v>41</v>
      </c>
      <c r="D7" s="28"/>
      <c r="E7" s="28"/>
      <c r="F7" s="29">
        <v>1.3588</v>
      </c>
      <c r="G7" s="30"/>
      <c r="H7" s="31" t="s">
        <v>42</v>
      </c>
      <c r="I7" s="21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</row>
    <row r="8" spans="1:30" ht="25" thickBot="1" x14ac:dyDescent="0.25">
      <c r="A8" s="8"/>
      <c r="B8" s="15"/>
      <c r="C8" s="32" t="s">
        <v>43</v>
      </c>
      <c r="D8" s="33"/>
      <c r="E8" s="33"/>
      <c r="F8" s="34"/>
      <c r="G8" s="21"/>
      <c r="H8" s="35" t="s">
        <v>44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</row>
    <row r="9" spans="1:30" ht="24" x14ac:dyDescent="0.2">
      <c r="A9" s="8"/>
      <c r="B9" s="15"/>
      <c r="C9" s="22" t="s">
        <v>45</v>
      </c>
      <c r="D9" s="33"/>
      <c r="E9" s="33"/>
      <c r="F9" s="36">
        <v>3.6999999999999998E-2</v>
      </c>
      <c r="G9" s="21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 spans="1:30" ht="24" x14ac:dyDescent="0.2">
      <c r="A10" s="8"/>
      <c r="B10" s="15"/>
      <c r="C10" s="22" t="s">
        <v>46</v>
      </c>
      <c r="D10" s="33"/>
      <c r="E10" s="33"/>
      <c r="F10" s="36">
        <v>4.2299999999999997E-2</v>
      </c>
      <c r="G10" s="37" t="s">
        <v>47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 spans="1:30" ht="24" x14ac:dyDescent="0.2">
      <c r="A11" s="8"/>
      <c r="B11" s="15"/>
      <c r="C11" s="32" t="s">
        <v>48</v>
      </c>
      <c r="D11" s="28"/>
      <c r="E11" s="28"/>
      <c r="F11" s="38"/>
      <c r="G11" s="21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 spans="1:30" ht="24" x14ac:dyDescent="0.2">
      <c r="A12" s="8"/>
      <c r="B12" s="15"/>
      <c r="C12" s="22" t="s">
        <v>49</v>
      </c>
      <c r="D12" s="28"/>
      <c r="E12" s="28"/>
      <c r="F12" s="29">
        <v>1.34015</v>
      </c>
      <c r="G12" s="21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</row>
    <row r="13" spans="1:30" ht="24" x14ac:dyDescent="0.2">
      <c r="A13" s="8"/>
      <c r="B13" s="15"/>
      <c r="C13" s="32" t="s">
        <v>50</v>
      </c>
      <c r="D13" s="9"/>
      <c r="E13" s="9"/>
      <c r="F13" s="39"/>
      <c r="G13" s="21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</row>
    <row r="14" spans="1:30" ht="24" x14ac:dyDescent="0.3">
      <c r="A14" s="8"/>
      <c r="B14" s="15"/>
      <c r="C14" s="40" t="s">
        <v>51</v>
      </c>
      <c r="D14" s="41"/>
      <c r="E14" s="41"/>
      <c r="F14" s="42">
        <v>1.3474999999999999</v>
      </c>
      <c r="G14" s="21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</row>
    <row r="15" spans="1:30" ht="25" thickBot="1" x14ac:dyDescent="0.35">
      <c r="A15" s="8"/>
      <c r="B15" s="15"/>
      <c r="C15" s="43" t="s">
        <v>52</v>
      </c>
      <c r="D15" s="44"/>
      <c r="E15" s="44"/>
      <c r="F15" s="45">
        <v>1.55E-2</v>
      </c>
      <c r="G15" s="21"/>
      <c r="H15" s="46"/>
      <c r="I15" s="9"/>
      <c r="J15" s="46"/>
      <c r="K15" s="46"/>
      <c r="L15" s="46"/>
      <c r="M15" s="46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</row>
    <row r="16" spans="1:30" ht="25" thickTop="1" x14ac:dyDescent="0.3">
      <c r="A16" s="8"/>
      <c r="B16" s="9"/>
      <c r="C16" s="47"/>
      <c r="D16" s="47"/>
      <c r="E16" s="47"/>
      <c r="F16" s="47"/>
      <c r="G16" s="48"/>
      <c r="H16" s="48"/>
      <c r="I16" s="14"/>
      <c r="J16" s="49"/>
      <c r="K16" s="46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</row>
    <row r="17" spans="1:30" ht="24" x14ac:dyDescent="0.3">
      <c r="A17" s="8"/>
      <c r="B17" s="15"/>
      <c r="C17" s="50" t="s">
        <v>53</v>
      </c>
      <c r="D17" s="51"/>
      <c r="E17" s="51"/>
      <c r="F17" s="51"/>
      <c r="G17" s="51"/>
      <c r="H17" s="51"/>
      <c r="I17" s="51"/>
      <c r="J17" s="52"/>
      <c r="K17" s="21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</row>
    <row r="18" spans="1:30" ht="24" x14ac:dyDescent="0.2">
      <c r="A18" s="8"/>
      <c r="B18" s="15"/>
      <c r="C18" s="53" t="s">
        <v>54</v>
      </c>
      <c r="D18" s="54"/>
      <c r="E18" s="55"/>
      <c r="F18" s="56">
        <f>F6*for_GBPUSD</f>
        <v>10721200</v>
      </c>
      <c r="G18" s="57" t="s">
        <v>55</v>
      </c>
      <c r="H18" s="54"/>
      <c r="I18" s="54"/>
      <c r="J18" s="58"/>
      <c r="K18" s="21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</row>
    <row r="19" spans="1:30" ht="24" x14ac:dyDescent="0.2">
      <c r="A19" s="8"/>
      <c r="B19" s="9"/>
      <c r="C19" s="47"/>
      <c r="D19" s="47"/>
      <c r="E19" s="47"/>
      <c r="F19" s="47"/>
      <c r="G19" s="59"/>
      <c r="H19" s="47"/>
      <c r="I19" s="47"/>
      <c r="J19" s="47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 spans="1:30" ht="24" x14ac:dyDescent="0.2">
      <c r="A20" s="8"/>
      <c r="B20" s="15"/>
      <c r="C20" s="60" t="s">
        <v>56</v>
      </c>
      <c r="D20" s="51"/>
      <c r="E20" s="51"/>
      <c r="F20" s="51"/>
      <c r="G20" s="51"/>
      <c r="H20" s="51"/>
      <c r="I20" s="51"/>
      <c r="J20" s="52"/>
      <c r="K20" s="21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 spans="1:30" ht="24" x14ac:dyDescent="0.2">
      <c r="A21" s="8"/>
      <c r="B21" s="15"/>
      <c r="C21" s="61" t="s">
        <v>57</v>
      </c>
      <c r="D21" s="12"/>
      <c r="E21" s="13"/>
      <c r="F21" s="62">
        <f>F6/(1+F10)</f>
        <v>7675333.397294445</v>
      </c>
      <c r="G21" s="11"/>
      <c r="H21" s="12"/>
      <c r="I21" s="12"/>
      <c r="J21" s="63"/>
      <c r="K21" s="21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 spans="1:30" ht="24" x14ac:dyDescent="0.2">
      <c r="A22" s="8"/>
      <c r="B22" s="15"/>
      <c r="C22" s="61" t="s">
        <v>58</v>
      </c>
      <c r="D22" s="12"/>
      <c r="E22" s="13"/>
      <c r="F22" s="64">
        <f>F21*F7</f>
        <v>10429243.020243691</v>
      </c>
      <c r="G22" s="11"/>
      <c r="H22" s="12"/>
      <c r="I22" s="12"/>
      <c r="J22" s="63"/>
      <c r="K22" s="21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 spans="1:30" ht="24" x14ac:dyDescent="0.2">
      <c r="A23" s="8"/>
      <c r="B23" s="15"/>
      <c r="C23" s="61" t="s">
        <v>59</v>
      </c>
      <c r="D23" s="12"/>
      <c r="E23" s="13"/>
      <c r="F23" s="64">
        <f>F22*(1+F9)</f>
        <v>10815125.011992708</v>
      </c>
      <c r="G23" s="11"/>
      <c r="H23" s="12"/>
      <c r="I23" s="12"/>
      <c r="J23" s="63"/>
      <c r="K23" s="21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 spans="1:30" ht="24" x14ac:dyDescent="0.2">
      <c r="A24" s="8"/>
      <c r="B24" s="15"/>
      <c r="C24" s="65"/>
      <c r="D24" s="66"/>
      <c r="E24" s="66"/>
      <c r="F24" s="56">
        <f>F23</f>
        <v>10815125.011992708</v>
      </c>
      <c r="G24" s="57" t="s">
        <v>55</v>
      </c>
      <c r="H24" s="54"/>
      <c r="I24" s="54"/>
      <c r="J24" s="58"/>
      <c r="K24" s="21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 spans="1:30" ht="24" x14ac:dyDescent="0.2">
      <c r="A25" s="8"/>
      <c r="B25" s="9"/>
      <c r="C25" s="47"/>
      <c r="D25" s="47"/>
      <c r="E25" s="47"/>
      <c r="F25" s="47"/>
      <c r="G25" s="59"/>
      <c r="H25" s="47"/>
      <c r="I25" s="47"/>
      <c r="J25" s="47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 spans="1:30" ht="24" x14ac:dyDescent="0.2">
      <c r="A26" s="8"/>
      <c r="B26" s="15"/>
      <c r="C26" s="60" t="s">
        <v>60</v>
      </c>
      <c r="D26" s="51"/>
      <c r="E26" s="51"/>
      <c r="F26" s="51"/>
      <c r="G26" s="51"/>
      <c r="H26" s="51"/>
      <c r="I26" s="51"/>
      <c r="J26" s="52"/>
      <c r="K26" s="21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 spans="1:30" ht="24" x14ac:dyDescent="0.3">
      <c r="A27" s="8"/>
      <c r="B27" s="15"/>
      <c r="C27" s="61" t="s">
        <v>61</v>
      </c>
      <c r="D27" s="12"/>
      <c r="E27" s="13"/>
      <c r="F27" s="64">
        <f>-put_price*recievable</f>
        <v>-124000</v>
      </c>
      <c r="G27" s="46" t="e">
        <f ca="1">_xludf.FORMULATEXT(F27)</f>
        <v>#NAME?</v>
      </c>
      <c r="H27" s="9"/>
      <c r="I27" s="9"/>
      <c r="J27" s="67"/>
      <c r="K27" s="21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 spans="1:30" ht="24" x14ac:dyDescent="0.3">
      <c r="A28" s="8"/>
      <c r="B28" s="15"/>
      <c r="C28" s="61" t="s">
        <v>62</v>
      </c>
      <c r="D28" s="12"/>
      <c r="E28" s="13"/>
      <c r="F28" s="64">
        <f>F27*(1+F9)</f>
        <v>-128587.99999999999</v>
      </c>
      <c r="G28" s="46"/>
      <c r="H28" s="9"/>
      <c r="I28" s="9"/>
      <c r="J28" s="67"/>
      <c r="K28" s="21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 spans="1:30" ht="24" x14ac:dyDescent="0.2">
      <c r="A29" s="8"/>
      <c r="B29" s="15"/>
      <c r="C29" s="65"/>
      <c r="D29" s="68"/>
      <c r="E29" s="68"/>
      <c r="F29" s="69">
        <f>MIN(G33:G45)</f>
        <v>11071412</v>
      </c>
      <c r="G29" s="57" t="s">
        <v>63</v>
      </c>
      <c r="H29" s="54"/>
      <c r="I29" s="54"/>
      <c r="J29" s="58"/>
      <c r="K29" s="21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</row>
    <row r="30" spans="1:30" ht="24" x14ac:dyDescent="0.2">
      <c r="A30" s="8"/>
      <c r="B30" s="9"/>
      <c r="C30" s="70"/>
      <c r="D30" s="47"/>
      <c r="E30" s="47"/>
      <c r="F30" s="47"/>
      <c r="G30" s="59"/>
      <c r="H30" s="70"/>
      <c r="I30" s="70"/>
      <c r="J30" s="70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</row>
    <row r="31" spans="1:30" ht="24" x14ac:dyDescent="0.2">
      <c r="A31" s="8"/>
      <c r="B31" s="15"/>
      <c r="C31" s="71" t="s">
        <v>64</v>
      </c>
      <c r="D31" s="72" t="s">
        <v>65</v>
      </c>
      <c r="E31" s="73"/>
      <c r="F31" s="73"/>
      <c r="G31" s="74"/>
      <c r="H31" s="75" t="s">
        <v>66</v>
      </c>
      <c r="I31" s="73"/>
      <c r="J31" s="74"/>
      <c r="K31" s="72" t="s">
        <v>67</v>
      </c>
      <c r="L31" s="74"/>
      <c r="M31" s="21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</row>
    <row r="32" spans="1:30" ht="25" thickBot="1" x14ac:dyDescent="0.25">
      <c r="A32" s="8"/>
      <c r="B32" s="15"/>
      <c r="C32" s="76"/>
      <c r="D32" s="77" t="s">
        <v>68</v>
      </c>
      <c r="E32" s="78" t="s">
        <v>53</v>
      </c>
      <c r="F32" s="79" t="s">
        <v>56</v>
      </c>
      <c r="G32" s="80" t="s">
        <v>60</v>
      </c>
      <c r="H32" s="81" t="s">
        <v>69</v>
      </c>
      <c r="I32" s="82" t="s">
        <v>56</v>
      </c>
      <c r="J32" s="83" t="s">
        <v>60</v>
      </c>
      <c r="K32" s="77" t="s">
        <v>70</v>
      </c>
      <c r="L32" s="84" t="s">
        <v>71</v>
      </c>
      <c r="M32" s="21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</row>
    <row r="33" spans="1:30" ht="25" thickBot="1" x14ac:dyDescent="0.35">
      <c r="A33" s="85"/>
      <c r="B33" s="86" t="s">
        <v>72</v>
      </c>
      <c r="C33" s="87">
        <f t="shared" ref="C33:C38" si="0">C34-0.01</f>
        <v>1.4</v>
      </c>
      <c r="D33" s="88">
        <f t="shared" ref="D33:D45" si="1">C33*$F$6</f>
        <v>11200000</v>
      </c>
      <c r="E33" s="89">
        <f t="shared" ref="E33:E45" si="2">$D33+($F$12-C33)*$F$6</f>
        <v>10721200</v>
      </c>
      <c r="F33" s="90">
        <f t="shared" ref="F33:F45" si="3">$F$24</f>
        <v>10815125.011992708</v>
      </c>
      <c r="G33" s="91">
        <f>hedge_no+J33</f>
        <v>11071412</v>
      </c>
      <c r="H33" s="92">
        <f t="shared" ref="H33:H45" si="4">($F$12-C33)*$F$6</f>
        <v>-478799.99999999965</v>
      </c>
      <c r="I33" s="93">
        <f t="shared" ref="I33:I45" si="5">$F$24-D33</f>
        <v>-384874.98800729215</v>
      </c>
      <c r="J33" s="94">
        <f t="shared" ref="J33:J45" si="6">fv_put_outlay+MAX(0,(x_put-gbpusd_1y_scenario)*recievable)</f>
        <v>-128587.99999999999</v>
      </c>
      <c r="K33" s="95" t="str">
        <f t="shared" ref="K33:K45" si="7">IF(E33= MAX(D33,E33,F33,G33),$E$32,IF(F33= MAX(D33,E33,F33,G33),$F$32,IF(G33= MAX(D33,E33,F33,G33),$G$32,$D$32)))</f>
        <v>0. No Hedge</v>
      </c>
      <c r="L33" s="96" t="str">
        <f t="shared" ref="L33:L45" si="8">IF(E33= MAX(E33,F33,G33),$E$32,IF(F33= MAX(E33,F33,G33),$F$32,$G$32))</f>
        <v>3. Option Hedge</v>
      </c>
      <c r="M33" s="21" t="s">
        <v>73</v>
      </c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</row>
    <row r="34" spans="1:30" ht="30" thickBot="1" x14ac:dyDescent="0.35">
      <c r="A34" s="85"/>
      <c r="B34" s="97"/>
      <c r="C34" s="98">
        <f t="shared" si="0"/>
        <v>1.41</v>
      </c>
      <c r="D34" s="99">
        <f t="shared" si="1"/>
        <v>11280000</v>
      </c>
      <c r="E34" s="100">
        <f t="shared" si="2"/>
        <v>10721200</v>
      </c>
      <c r="F34" s="101">
        <f t="shared" si="3"/>
        <v>10815125.011992708</v>
      </c>
      <c r="G34" s="102">
        <f t="shared" ref="G34:G45" si="9">$D34+J34</f>
        <v>11151412</v>
      </c>
      <c r="H34" s="103">
        <f t="shared" si="4"/>
        <v>-558799.99999999977</v>
      </c>
      <c r="I34" s="104">
        <f t="shared" si="5"/>
        <v>-464874.98800729215</v>
      </c>
      <c r="J34" s="94">
        <f t="shared" si="6"/>
        <v>-128587.99999999999</v>
      </c>
      <c r="K34" s="105" t="str">
        <f t="shared" si="7"/>
        <v>0. No Hedge</v>
      </c>
      <c r="L34" s="106" t="str">
        <f t="shared" si="8"/>
        <v>3. Option Hedge</v>
      </c>
      <c r="M34" s="107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</row>
    <row r="35" spans="1:30" ht="25" thickBot="1" x14ac:dyDescent="0.35">
      <c r="A35" s="85"/>
      <c r="B35" s="97"/>
      <c r="C35" s="98">
        <f t="shared" si="0"/>
        <v>1.42</v>
      </c>
      <c r="D35" s="99">
        <f t="shared" si="1"/>
        <v>11360000</v>
      </c>
      <c r="E35" s="100">
        <f t="shared" si="2"/>
        <v>10721200</v>
      </c>
      <c r="F35" s="101">
        <f t="shared" si="3"/>
        <v>10815125.011992708</v>
      </c>
      <c r="G35" s="102">
        <f t="shared" si="9"/>
        <v>11231412</v>
      </c>
      <c r="H35" s="103">
        <f t="shared" si="4"/>
        <v>-638799.99999999977</v>
      </c>
      <c r="I35" s="104">
        <f t="shared" si="5"/>
        <v>-544874.98800729215</v>
      </c>
      <c r="J35" s="94">
        <f t="shared" si="6"/>
        <v>-128587.99999999999</v>
      </c>
      <c r="K35" s="105" t="str">
        <f t="shared" si="7"/>
        <v>0. No Hedge</v>
      </c>
      <c r="L35" s="106" t="str">
        <f t="shared" si="8"/>
        <v>3. Option Hedge</v>
      </c>
      <c r="M35" s="21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</row>
    <row r="36" spans="1:30" ht="25" thickBot="1" x14ac:dyDescent="0.35">
      <c r="A36" s="85"/>
      <c r="B36" s="97"/>
      <c r="C36" s="98">
        <f t="shared" si="0"/>
        <v>1.43</v>
      </c>
      <c r="D36" s="99">
        <f t="shared" si="1"/>
        <v>11440000</v>
      </c>
      <c r="E36" s="100">
        <f t="shared" si="2"/>
        <v>10721200</v>
      </c>
      <c r="F36" s="101">
        <f t="shared" si="3"/>
        <v>10815125.011992708</v>
      </c>
      <c r="G36" s="102">
        <f t="shared" si="9"/>
        <v>11311412</v>
      </c>
      <c r="H36" s="103">
        <f t="shared" si="4"/>
        <v>-718799.99999999988</v>
      </c>
      <c r="I36" s="104">
        <f t="shared" si="5"/>
        <v>-624874.98800729215</v>
      </c>
      <c r="J36" s="94">
        <f t="shared" si="6"/>
        <v>-128587.99999999999</v>
      </c>
      <c r="K36" s="105" t="str">
        <f t="shared" si="7"/>
        <v>0. No Hedge</v>
      </c>
      <c r="L36" s="106" t="str">
        <f t="shared" si="8"/>
        <v>3. Option Hedge</v>
      </c>
      <c r="M36" s="21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</row>
    <row r="37" spans="1:30" ht="25" thickBot="1" x14ac:dyDescent="0.35">
      <c r="A37" s="85"/>
      <c r="B37" s="97"/>
      <c r="C37" s="98">
        <f t="shared" si="0"/>
        <v>1.44</v>
      </c>
      <c r="D37" s="99">
        <f t="shared" si="1"/>
        <v>11520000</v>
      </c>
      <c r="E37" s="100">
        <f t="shared" si="2"/>
        <v>10721200</v>
      </c>
      <c r="F37" s="101">
        <f t="shared" si="3"/>
        <v>10815125.011992708</v>
      </c>
      <c r="G37" s="102">
        <f t="shared" si="9"/>
        <v>11391412</v>
      </c>
      <c r="H37" s="103">
        <f t="shared" si="4"/>
        <v>-798800</v>
      </c>
      <c r="I37" s="104">
        <f t="shared" si="5"/>
        <v>-704874.98800729215</v>
      </c>
      <c r="J37" s="94">
        <f t="shared" si="6"/>
        <v>-128587.99999999999</v>
      </c>
      <c r="K37" s="105" t="str">
        <f t="shared" si="7"/>
        <v>0. No Hedge</v>
      </c>
      <c r="L37" s="106" t="str">
        <f t="shared" si="8"/>
        <v>3. Option Hedge</v>
      </c>
      <c r="M37" s="21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</row>
    <row r="38" spans="1:30" ht="25" thickBot="1" x14ac:dyDescent="0.35">
      <c r="A38" s="85"/>
      <c r="B38" s="97"/>
      <c r="C38" s="98">
        <f t="shared" si="0"/>
        <v>1.45</v>
      </c>
      <c r="D38" s="99">
        <f t="shared" si="1"/>
        <v>11600000</v>
      </c>
      <c r="E38" s="100">
        <f t="shared" si="2"/>
        <v>10721200</v>
      </c>
      <c r="F38" s="101">
        <f t="shared" si="3"/>
        <v>10815125.011992708</v>
      </c>
      <c r="G38" s="102">
        <f t="shared" si="9"/>
        <v>11471412</v>
      </c>
      <c r="H38" s="103">
        <f t="shared" si="4"/>
        <v>-878800</v>
      </c>
      <c r="I38" s="104">
        <f t="shared" si="5"/>
        <v>-784874.98800729215</v>
      </c>
      <c r="J38" s="94">
        <f t="shared" si="6"/>
        <v>-128587.99999999999</v>
      </c>
      <c r="K38" s="105" t="str">
        <f t="shared" si="7"/>
        <v>0. No Hedge</v>
      </c>
      <c r="L38" s="106" t="str">
        <f t="shared" si="8"/>
        <v>3. Option Hedge</v>
      </c>
      <c r="M38" s="21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</row>
    <row r="39" spans="1:30" ht="25" thickBot="1" x14ac:dyDescent="0.35">
      <c r="A39" s="85"/>
      <c r="B39" s="97"/>
      <c r="C39" s="98">
        <v>1.46</v>
      </c>
      <c r="D39" s="99">
        <f t="shared" si="1"/>
        <v>11680000</v>
      </c>
      <c r="E39" s="100">
        <f t="shared" si="2"/>
        <v>10721200</v>
      </c>
      <c r="F39" s="101">
        <f t="shared" si="3"/>
        <v>10815125.011992708</v>
      </c>
      <c r="G39" s="102">
        <f t="shared" si="9"/>
        <v>11551412</v>
      </c>
      <c r="H39" s="103">
        <f t="shared" si="4"/>
        <v>-958800.00000000012</v>
      </c>
      <c r="I39" s="104">
        <f t="shared" si="5"/>
        <v>-864874.98800729215</v>
      </c>
      <c r="J39" s="94">
        <f t="shared" si="6"/>
        <v>-128587.99999999999</v>
      </c>
      <c r="K39" s="105" t="str">
        <f t="shared" si="7"/>
        <v>0. No Hedge</v>
      </c>
      <c r="L39" s="106" t="str">
        <f t="shared" si="8"/>
        <v>3. Option Hedge</v>
      </c>
      <c r="M39" s="21" t="s">
        <v>74</v>
      </c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</row>
    <row r="40" spans="1:30" ht="25" thickBot="1" x14ac:dyDescent="0.35">
      <c r="A40" s="85"/>
      <c r="B40" s="97"/>
      <c r="C40" s="98">
        <f t="shared" ref="C40:C45" si="10">C39+0.01</f>
        <v>1.47</v>
      </c>
      <c r="D40" s="99">
        <f t="shared" si="1"/>
        <v>11760000</v>
      </c>
      <c r="E40" s="100">
        <f t="shared" si="2"/>
        <v>10721200</v>
      </c>
      <c r="F40" s="101">
        <f t="shared" si="3"/>
        <v>10815125.011992708</v>
      </c>
      <c r="G40" s="102">
        <f t="shared" si="9"/>
        <v>11631412</v>
      </c>
      <c r="H40" s="103">
        <f t="shared" si="4"/>
        <v>-1038800.0000000001</v>
      </c>
      <c r="I40" s="104">
        <f t="shared" si="5"/>
        <v>-944874.98800729215</v>
      </c>
      <c r="J40" s="94">
        <f t="shared" si="6"/>
        <v>-128587.99999999999</v>
      </c>
      <c r="K40" s="105" t="str">
        <f t="shared" si="7"/>
        <v>0. No Hedge</v>
      </c>
      <c r="L40" s="106" t="str">
        <f t="shared" si="8"/>
        <v>3. Option Hedge</v>
      </c>
      <c r="M40" s="21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</row>
    <row r="41" spans="1:30" ht="25" thickBot="1" x14ac:dyDescent="0.35">
      <c r="A41" s="85"/>
      <c r="B41" s="97"/>
      <c r="C41" s="98">
        <f t="shared" si="10"/>
        <v>1.48</v>
      </c>
      <c r="D41" s="99">
        <f t="shared" si="1"/>
        <v>11840000</v>
      </c>
      <c r="E41" s="100">
        <f t="shared" si="2"/>
        <v>10721200</v>
      </c>
      <c r="F41" s="101">
        <f t="shared" si="3"/>
        <v>10815125.011992708</v>
      </c>
      <c r="G41" s="102">
        <f t="shared" si="9"/>
        <v>11711412</v>
      </c>
      <c r="H41" s="103">
        <f t="shared" si="4"/>
        <v>-1118800.0000000002</v>
      </c>
      <c r="I41" s="104">
        <f t="shared" si="5"/>
        <v>-1024874.9880072922</v>
      </c>
      <c r="J41" s="94">
        <f t="shared" si="6"/>
        <v>-128587.99999999999</v>
      </c>
      <c r="K41" s="105" t="str">
        <f t="shared" si="7"/>
        <v>0. No Hedge</v>
      </c>
      <c r="L41" s="106" t="str">
        <f t="shared" si="8"/>
        <v>3. Option Hedge</v>
      </c>
      <c r="M41" s="21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</row>
    <row r="42" spans="1:30" ht="25" thickBot="1" x14ac:dyDescent="0.35">
      <c r="A42" s="85"/>
      <c r="B42" s="97"/>
      <c r="C42" s="98">
        <f t="shared" si="10"/>
        <v>1.49</v>
      </c>
      <c r="D42" s="99">
        <f t="shared" si="1"/>
        <v>11920000</v>
      </c>
      <c r="E42" s="100">
        <f t="shared" si="2"/>
        <v>10721200</v>
      </c>
      <c r="F42" s="101">
        <f t="shared" si="3"/>
        <v>10815125.011992708</v>
      </c>
      <c r="G42" s="102">
        <f t="shared" si="9"/>
        <v>11791412</v>
      </c>
      <c r="H42" s="103">
        <f t="shared" si="4"/>
        <v>-1198800.0000000002</v>
      </c>
      <c r="I42" s="104">
        <f t="shared" si="5"/>
        <v>-1104874.9880072922</v>
      </c>
      <c r="J42" s="94">
        <f t="shared" si="6"/>
        <v>-128587.99999999999</v>
      </c>
      <c r="K42" s="105" t="str">
        <f t="shared" si="7"/>
        <v>0. No Hedge</v>
      </c>
      <c r="L42" s="108" t="str">
        <f t="shared" si="8"/>
        <v>3. Option Hedge</v>
      </c>
      <c r="M42" s="21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</row>
    <row r="43" spans="1:30" ht="25" thickBot="1" x14ac:dyDescent="0.35">
      <c r="A43" s="85"/>
      <c r="B43" s="97"/>
      <c r="C43" s="98">
        <f t="shared" si="10"/>
        <v>1.5</v>
      </c>
      <c r="D43" s="99">
        <f t="shared" si="1"/>
        <v>12000000</v>
      </c>
      <c r="E43" s="100">
        <f t="shared" si="2"/>
        <v>10721200</v>
      </c>
      <c r="F43" s="101">
        <f t="shared" si="3"/>
        <v>10815125.011992708</v>
      </c>
      <c r="G43" s="102">
        <f t="shared" si="9"/>
        <v>11871412</v>
      </c>
      <c r="H43" s="103">
        <f t="shared" si="4"/>
        <v>-1278800.0000000005</v>
      </c>
      <c r="I43" s="104">
        <f t="shared" si="5"/>
        <v>-1184874.9880072922</v>
      </c>
      <c r="J43" s="94">
        <f t="shared" si="6"/>
        <v>-128587.99999999999</v>
      </c>
      <c r="K43" s="105" t="str">
        <f t="shared" si="7"/>
        <v>0. No Hedge</v>
      </c>
      <c r="L43" s="108" t="str">
        <f t="shared" si="8"/>
        <v>3. Option Hedge</v>
      </c>
      <c r="M43" s="21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</row>
    <row r="44" spans="1:30" ht="25" thickBot="1" x14ac:dyDescent="0.35">
      <c r="A44" s="85"/>
      <c r="B44" s="97"/>
      <c r="C44" s="98">
        <f t="shared" si="10"/>
        <v>1.51</v>
      </c>
      <c r="D44" s="99">
        <f t="shared" si="1"/>
        <v>12080000</v>
      </c>
      <c r="E44" s="100">
        <f t="shared" si="2"/>
        <v>10721200</v>
      </c>
      <c r="F44" s="101">
        <f t="shared" si="3"/>
        <v>10815125.011992708</v>
      </c>
      <c r="G44" s="102">
        <f t="shared" si="9"/>
        <v>11951412</v>
      </c>
      <c r="H44" s="103">
        <f t="shared" si="4"/>
        <v>-1358800.0000000005</v>
      </c>
      <c r="I44" s="104">
        <f t="shared" si="5"/>
        <v>-1264874.9880072922</v>
      </c>
      <c r="J44" s="94">
        <f t="shared" si="6"/>
        <v>-128587.99999999999</v>
      </c>
      <c r="K44" s="105" t="str">
        <f t="shared" si="7"/>
        <v>0. No Hedge</v>
      </c>
      <c r="L44" s="108" t="str">
        <f t="shared" si="8"/>
        <v>3. Option Hedge</v>
      </c>
      <c r="M44" s="21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</row>
    <row r="45" spans="1:30" ht="25" thickBot="1" x14ac:dyDescent="0.35">
      <c r="A45" s="85"/>
      <c r="B45" s="109"/>
      <c r="C45" s="110">
        <f t="shared" si="10"/>
        <v>1.52</v>
      </c>
      <c r="D45" s="111">
        <f t="shared" si="1"/>
        <v>12160000</v>
      </c>
      <c r="E45" s="112">
        <f t="shared" si="2"/>
        <v>10721200</v>
      </c>
      <c r="F45" s="113">
        <f t="shared" si="3"/>
        <v>10815125.011992708</v>
      </c>
      <c r="G45" s="114">
        <f t="shared" si="9"/>
        <v>12031412</v>
      </c>
      <c r="H45" s="115">
        <f t="shared" si="4"/>
        <v>-1438800.0000000005</v>
      </c>
      <c r="I45" s="116">
        <f t="shared" si="5"/>
        <v>-1344874.9880072922</v>
      </c>
      <c r="J45" s="94">
        <f t="shared" si="6"/>
        <v>-128587.99999999999</v>
      </c>
      <c r="K45" s="117" t="str">
        <f t="shared" si="7"/>
        <v>0. No Hedge</v>
      </c>
      <c r="L45" s="118" t="str">
        <f>IF(E45= MAX(E45,F45,G45),$E$32,IF(F45= MAX(E45,F45,G45),$F$32,$G$32))</f>
        <v>3. Option Hedge</v>
      </c>
      <c r="M45" s="21" t="s">
        <v>75</v>
      </c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</row>
    <row r="46" spans="1:30" ht="24" x14ac:dyDescent="0.2">
      <c r="A46" s="8"/>
      <c r="B46" s="9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</row>
    <row r="47" spans="1:30" ht="24" x14ac:dyDescent="0.2">
      <c r="A47" s="8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</row>
    <row r="48" spans="1:30" ht="24" x14ac:dyDescent="0.2">
      <c r="A48" s="8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</row>
    <row r="49" spans="1:30" ht="24" x14ac:dyDescent="0.2">
      <c r="A49" s="8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</row>
    <row r="50" spans="1:30" ht="24" x14ac:dyDescent="0.2">
      <c r="A50" s="8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</row>
    <row r="51" spans="1:30" ht="24" x14ac:dyDescent="0.2">
      <c r="A51" s="8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</row>
    <row r="52" spans="1:30" ht="24" x14ac:dyDescent="0.2">
      <c r="A52" s="8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</row>
    <row r="53" spans="1:30" ht="24" x14ac:dyDescent="0.2">
      <c r="A53" s="8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</row>
    <row r="54" spans="1:30" ht="24" x14ac:dyDescent="0.2">
      <c r="A54" s="8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</row>
    <row r="55" spans="1:30" ht="24" x14ac:dyDescent="0.2">
      <c r="A55" s="8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</row>
    <row r="56" spans="1:30" ht="24" x14ac:dyDescent="0.2">
      <c r="A56" s="8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</row>
    <row r="57" spans="1:30" ht="24" x14ac:dyDescent="0.2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</row>
    <row r="58" spans="1:30" ht="24" x14ac:dyDescent="0.2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</row>
    <row r="59" spans="1:30" ht="24" x14ac:dyDescent="0.2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</row>
    <row r="60" spans="1:30" ht="24" x14ac:dyDescent="0.2">
      <c r="A60" s="8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</row>
    <row r="61" spans="1:30" ht="24" x14ac:dyDescent="0.2">
      <c r="A61" s="8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</row>
    <row r="62" spans="1:30" ht="24" x14ac:dyDescent="0.2">
      <c r="A62" s="8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</row>
    <row r="63" spans="1:30" ht="24" x14ac:dyDescent="0.2">
      <c r="A63" s="8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</row>
    <row r="64" spans="1:30" ht="24" x14ac:dyDescent="0.2">
      <c r="A64" s="8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</row>
    <row r="65" spans="1:30" ht="24" x14ac:dyDescent="0.2">
      <c r="A65" s="8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</row>
    <row r="66" spans="1:30" ht="24" x14ac:dyDescent="0.2">
      <c r="A66" s="8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</row>
    <row r="67" spans="1:30" ht="24" x14ac:dyDescent="0.2">
      <c r="A67" s="8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</row>
    <row r="68" spans="1:30" ht="24" x14ac:dyDescent="0.2">
      <c r="A68" s="8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</row>
    <row r="69" spans="1:30" ht="24" x14ac:dyDescent="0.2">
      <c r="A69" s="8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</row>
    <row r="70" spans="1:30" ht="24" x14ac:dyDescent="0.2">
      <c r="A70" s="8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</row>
    <row r="71" spans="1:30" ht="24" x14ac:dyDescent="0.2">
      <c r="A71" s="8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</row>
    <row r="72" spans="1:30" ht="24" x14ac:dyDescent="0.2">
      <c r="A72" s="8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</row>
    <row r="73" spans="1:30" ht="24" x14ac:dyDescent="0.2">
      <c r="A73" s="8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</row>
    <row r="74" spans="1:30" ht="24" x14ac:dyDescent="0.2">
      <c r="A74" s="8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</row>
    <row r="75" spans="1:30" ht="24" x14ac:dyDescent="0.2">
      <c r="A75" s="8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</row>
    <row r="76" spans="1:30" ht="24" x14ac:dyDescent="0.2">
      <c r="A76" s="8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</row>
    <row r="77" spans="1:30" ht="24" x14ac:dyDescent="0.2">
      <c r="A77" s="8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</row>
    <row r="78" spans="1:30" ht="24" x14ac:dyDescent="0.2">
      <c r="A78" s="8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</row>
    <row r="79" spans="1:30" ht="24" x14ac:dyDescent="0.2">
      <c r="A79" s="8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</row>
    <row r="80" spans="1:30" ht="24" x14ac:dyDescent="0.2">
      <c r="A80" s="8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</row>
    <row r="81" spans="1:30" ht="24" x14ac:dyDescent="0.2">
      <c r="A81" s="8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</row>
    <row r="82" spans="1:30" ht="24" x14ac:dyDescent="0.2">
      <c r="A82" s="8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</row>
    <row r="83" spans="1:30" ht="24" x14ac:dyDescent="0.2">
      <c r="A83" s="8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</row>
    <row r="84" spans="1:30" ht="24" x14ac:dyDescent="0.2">
      <c r="A84" s="8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</row>
    <row r="85" spans="1:30" ht="24" x14ac:dyDescent="0.2">
      <c r="A85" s="8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</row>
    <row r="86" spans="1:30" ht="24" x14ac:dyDescent="0.2">
      <c r="A86" s="8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</row>
    <row r="87" spans="1:30" ht="24" x14ac:dyDescent="0.2">
      <c r="A87" s="8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</row>
    <row r="88" spans="1:30" ht="24" x14ac:dyDescent="0.2">
      <c r="A88" s="8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</row>
    <row r="89" spans="1:30" ht="24" x14ac:dyDescent="0.2">
      <c r="A89" s="8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</row>
    <row r="90" spans="1:30" ht="24" x14ac:dyDescent="0.2">
      <c r="A90" s="8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</row>
    <row r="91" spans="1:30" ht="24" x14ac:dyDescent="0.2">
      <c r="A91" s="8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 spans="1:30" ht="24" x14ac:dyDescent="0.2">
      <c r="A92" s="8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 spans="1:30" ht="24" x14ac:dyDescent="0.2">
      <c r="A93" s="8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 spans="1:30" ht="24" x14ac:dyDescent="0.2">
      <c r="A94" s="8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 spans="1:30" ht="24" x14ac:dyDescent="0.2">
      <c r="A95" s="8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 spans="1:30" ht="24" x14ac:dyDescent="0.2">
      <c r="A96" s="8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 spans="1:30" ht="24" x14ac:dyDescent="0.2">
      <c r="A97" s="8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 spans="1:30" ht="24" x14ac:dyDescent="0.2">
      <c r="A98" s="8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 spans="1:30" ht="24" x14ac:dyDescent="0.2">
      <c r="A99" s="8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 spans="1:30" ht="24" x14ac:dyDescent="0.2">
      <c r="A100" s="8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 spans="1:30" ht="24" x14ac:dyDescent="0.2">
      <c r="A101" s="8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 spans="1:30" ht="24" x14ac:dyDescent="0.2">
      <c r="A102" s="8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 spans="1:30" ht="24" x14ac:dyDescent="0.2">
      <c r="A103" s="8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 spans="1:30" ht="24" x14ac:dyDescent="0.2">
      <c r="A104" s="8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 spans="1:30" ht="24" x14ac:dyDescent="0.2">
      <c r="A105" s="8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 spans="1:30" ht="24" x14ac:dyDescent="0.2">
      <c r="A106" s="8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 spans="1:30" ht="24" x14ac:dyDescent="0.2">
      <c r="A107" s="8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 spans="1:30" ht="24" x14ac:dyDescent="0.2">
      <c r="A108" s="8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 spans="1:30" ht="24" x14ac:dyDescent="0.2">
      <c r="A109" s="8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 spans="1:30" ht="24" x14ac:dyDescent="0.2">
      <c r="A110" s="8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 spans="1:30" ht="24" x14ac:dyDescent="0.2">
      <c r="A111" s="8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 spans="1:30" ht="24" x14ac:dyDescent="0.2">
      <c r="A112" s="8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 spans="1:30" ht="24" x14ac:dyDescent="0.2">
      <c r="A113" s="8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 spans="1:30" ht="24" x14ac:dyDescent="0.2">
      <c r="A114" s="8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 spans="1:30" ht="24" x14ac:dyDescent="0.2">
      <c r="A115" s="8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 spans="1:30" ht="24" x14ac:dyDescent="0.2">
      <c r="A116" s="8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 spans="1:30" ht="24" x14ac:dyDescent="0.2">
      <c r="A117" s="8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 spans="1:30" ht="24" x14ac:dyDescent="0.2">
      <c r="A118" s="8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 spans="1:30" ht="24" x14ac:dyDescent="0.2">
      <c r="A119" s="8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 spans="1:30" ht="24" x14ac:dyDescent="0.2">
      <c r="A120" s="8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 spans="1:30" ht="24" x14ac:dyDescent="0.2">
      <c r="A121" s="8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 spans="1:30" ht="24" x14ac:dyDescent="0.2">
      <c r="A122" s="8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 spans="1:30" ht="24" x14ac:dyDescent="0.2">
      <c r="A123" s="8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 spans="1:30" ht="24" x14ac:dyDescent="0.2">
      <c r="A124" s="8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 spans="1:30" ht="24" x14ac:dyDescent="0.2">
      <c r="A125" s="8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 spans="1:30" ht="24" x14ac:dyDescent="0.2">
      <c r="A126" s="8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 spans="1:30" ht="24" x14ac:dyDescent="0.2">
      <c r="A127" s="8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 spans="1:30" ht="24" x14ac:dyDescent="0.2">
      <c r="A128" s="8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 spans="1:30" ht="24" x14ac:dyDescent="0.2">
      <c r="A129" s="8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 spans="1:30" ht="24" x14ac:dyDescent="0.2">
      <c r="A130" s="8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 spans="1:30" ht="24" x14ac:dyDescent="0.2">
      <c r="A131" s="8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 spans="1:30" ht="24" x14ac:dyDescent="0.2">
      <c r="A132" s="8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 spans="1:30" ht="24" x14ac:dyDescent="0.2">
      <c r="A133" s="8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 spans="1:30" ht="24" x14ac:dyDescent="0.2">
      <c r="A134" s="8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 spans="1:30" ht="24" x14ac:dyDescent="0.2">
      <c r="A135" s="8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 spans="1:30" ht="24" x14ac:dyDescent="0.2">
      <c r="A136" s="8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 spans="1:30" ht="24" x14ac:dyDescent="0.2">
      <c r="A137" s="8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</row>
    <row r="138" spans="1:30" ht="24" x14ac:dyDescent="0.2">
      <c r="A138" s="8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</row>
    <row r="139" spans="1:30" ht="24" x14ac:dyDescent="0.2">
      <c r="A139" s="8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</row>
    <row r="140" spans="1:30" ht="24" x14ac:dyDescent="0.2">
      <c r="A140" s="8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</row>
    <row r="141" spans="1:30" ht="24" x14ac:dyDescent="0.2">
      <c r="A141" s="8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</row>
    <row r="142" spans="1:30" ht="24" x14ac:dyDescent="0.2">
      <c r="A142" s="8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</row>
    <row r="143" spans="1:30" ht="24" x14ac:dyDescent="0.2">
      <c r="A143" s="8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</row>
    <row r="144" spans="1:30" ht="24" x14ac:dyDescent="0.2">
      <c r="A144" s="8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</row>
    <row r="145" spans="1:30" ht="24" x14ac:dyDescent="0.2">
      <c r="A145" s="8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</row>
    <row r="146" spans="1:30" ht="24" x14ac:dyDescent="0.2">
      <c r="A146" s="8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</row>
    <row r="147" spans="1:30" ht="24" x14ac:dyDescent="0.2">
      <c r="A147" s="8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</row>
    <row r="148" spans="1:30" ht="24" x14ac:dyDescent="0.2">
      <c r="A148" s="8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</row>
    <row r="149" spans="1:30" ht="24" x14ac:dyDescent="0.2">
      <c r="A149" s="8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</row>
    <row r="150" spans="1:30" ht="24" x14ac:dyDescent="0.2">
      <c r="A150" s="8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</row>
    <row r="151" spans="1:30" ht="24" x14ac:dyDescent="0.2">
      <c r="A151" s="8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</row>
    <row r="152" spans="1:30" ht="24" x14ac:dyDescent="0.2">
      <c r="A152" s="8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</row>
    <row r="153" spans="1:30" ht="24" x14ac:dyDescent="0.2">
      <c r="A153" s="8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</row>
    <row r="154" spans="1:30" ht="24" x14ac:dyDescent="0.2">
      <c r="A154" s="8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</row>
    <row r="155" spans="1:30" ht="24" x14ac:dyDescent="0.2">
      <c r="A155" s="8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</row>
    <row r="156" spans="1:30" ht="24" x14ac:dyDescent="0.2">
      <c r="A156" s="8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</row>
    <row r="157" spans="1:30" ht="24" x14ac:dyDescent="0.2">
      <c r="A157" s="8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</row>
    <row r="158" spans="1:30" ht="24" x14ac:dyDescent="0.2">
      <c r="A158" s="8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</row>
    <row r="159" spans="1:30" ht="24" x14ac:dyDescent="0.2">
      <c r="A159" s="8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</row>
    <row r="160" spans="1:30" ht="24" x14ac:dyDescent="0.2">
      <c r="A160" s="8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</row>
    <row r="161" spans="1:30" ht="24" x14ac:dyDescent="0.2">
      <c r="A161" s="8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</row>
    <row r="162" spans="1:30" ht="24" x14ac:dyDescent="0.2">
      <c r="A162" s="8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</row>
    <row r="163" spans="1:30" ht="24" x14ac:dyDescent="0.2">
      <c r="A163" s="8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</row>
    <row r="164" spans="1:30" ht="24" x14ac:dyDescent="0.2">
      <c r="A164" s="8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</row>
    <row r="165" spans="1:30" ht="24" x14ac:dyDescent="0.2">
      <c r="A165" s="8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</row>
    <row r="166" spans="1:30" ht="24" x14ac:dyDescent="0.2">
      <c r="A166" s="8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</row>
    <row r="167" spans="1:30" ht="24" x14ac:dyDescent="0.2">
      <c r="A167" s="8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</row>
    <row r="168" spans="1:30" ht="24" x14ac:dyDescent="0.2">
      <c r="A168" s="8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</row>
    <row r="169" spans="1:30" ht="24" x14ac:dyDescent="0.2">
      <c r="A169" s="8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</row>
    <row r="170" spans="1:30" ht="24" x14ac:dyDescent="0.2">
      <c r="A170" s="8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</row>
    <row r="171" spans="1:30" ht="24" x14ac:dyDescent="0.2">
      <c r="A171" s="8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</row>
    <row r="172" spans="1:30" ht="24" x14ac:dyDescent="0.2">
      <c r="A172" s="8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</row>
    <row r="173" spans="1:30" ht="24" x14ac:dyDescent="0.2">
      <c r="A173" s="8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</row>
    <row r="174" spans="1:30" ht="24" x14ac:dyDescent="0.2">
      <c r="A174" s="8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</row>
    <row r="175" spans="1:30" ht="24" x14ac:dyDescent="0.2">
      <c r="A175" s="8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</row>
    <row r="176" spans="1:30" ht="24" x14ac:dyDescent="0.2">
      <c r="A176" s="8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</row>
    <row r="177" spans="1:30" ht="24" x14ac:dyDescent="0.2">
      <c r="A177" s="8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</row>
    <row r="178" spans="1:30" ht="24" x14ac:dyDescent="0.2">
      <c r="A178" s="8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</row>
    <row r="179" spans="1:30" ht="24" x14ac:dyDescent="0.2">
      <c r="A179" s="8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</row>
    <row r="180" spans="1:30" ht="24" x14ac:dyDescent="0.2">
      <c r="A180" s="8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</row>
    <row r="181" spans="1:30" ht="24" x14ac:dyDescent="0.2">
      <c r="A181" s="8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</row>
    <row r="182" spans="1:30" ht="24" x14ac:dyDescent="0.2">
      <c r="A182" s="8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</row>
    <row r="183" spans="1:30" ht="24" x14ac:dyDescent="0.2">
      <c r="A183" s="8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</row>
    <row r="184" spans="1:30" ht="24" x14ac:dyDescent="0.2">
      <c r="A184" s="8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</row>
    <row r="185" spans="1:30" ht="24" x14ac:dyDescent="0.2">
      <c r="A185" s="8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</row>
    <row r="186" spans="1:30" ht="24" x14ac:dyDescent="0.2">
      <c r="A186" s="8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</row>
    <row r="187" spans="1:30" ht="24" x14ac:dyDescent="0.2">
      <c r="A187" s="8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</row>
    <row r="188" spans="1:30" ht="24" x14ac:dyDescent="0.2">
      <c r="A188" s="8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</row>
    <row r="189" spans="1:30" ht="24" x14ac:dyDescent="0.2">
      <c r="A189" s="8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</row>
    <row r="190" spans="1:30" ht="24" x14ac:dyDescent="0.2">
      <c r="A190" s="8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</row>
    <row r="191" spans="1:30" ht="24" x14ac:dyDescent="0.2">
      <c r="A191" s="8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</row>
    <row r="192" spans="1:30" ht="24" x14ac:dyDescent="0.2">
      <c r="A192" s="8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</row>
    <row r="193" spans="1:30" ht="24" x14ac:dyDescent="0.2">
      <c r="A193" s="8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</row>
    <row r="194" spans="1:30" ht="24" x14ac:dyDescent="0.2">
      <c r="A194" s="8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</row>
    <row r="195" spans="1:30" ht="24" x14ac:dyDescent="0.2">
      <c r="A195" s="8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</row>
    <row r="196" spans="1:30" ht="24" x14ac:dyDescent="0.2">
      <c r="A196" s="8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</row>
    <row r="197" spans="1:30" ht="24" x14ac:dyDescent="0.2">
      <c r="A197" s="8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</row>
    <row r="198" spans="1:30" ht="24" x14ac:dyDescent="0.2">
      <c r="A198" s="8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</row>
    <row r="199" spans="1:30" ht="24" x14ac:dyDescent="0.2">
      <c r="A199" s="8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</row>
    <row r="200" spans="1:30" ht="24" x14ac:dyDescent="0.2">
      <c r="A200" s="8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</row>
    <row r="201" spans="1:30" ht="24" x14ac:dyDescent="0.2">
      <c r="A201" s="8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</row>
    <row r="202" spans="1:30" ht="24" x14ac:dyDescent="0.2">
      <c r="A202" s="8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</row>
    <row r="203" spans="1:30" ht="24" x14ac:dyDescent="0.2">
      <c r="A203" s="8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</row>
    <row r="204" spans="1:30" ht="24" x14ac:dyDescent="0.2">
      <c r="A204" s="8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</row>
    <row r="205" spans="1:30" ht="24" x14ac:dyDescent="0.2">
      <c r="A205" s="8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</row>
    <row r="206" spans="1:30" ht="24" x14ac:dyDescent="0.2">
      <c r="A206" s="8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</row>
    <row r="207" spans="1:30" ht="24" x14ac:dyDescent="0.2">
      <c r="A207" s="8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</row>
    <row r="208" spans="1:30" ht="24" x14ac:dyDescent="0.2">
      <c r="A208" s="8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</row>
    <row r="209" spans="1:30" ht="24" x14ac:dyDescent="0.2">
      <c r="A209" s="8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</row>
    <row r="210" spans="1:30" ht="24" x14ac:dyDescent="0.2">
      <c r="A210" s="8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</row>
    <row r="211" spans="1:30" ht="24" x14ac:dyDescent="0.2">
      <c r="A211" s="8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</row>
    <row r="212" spans="1:30" ht="24" x14ac:dyDescent="0.2">
      <c r="A212" s="8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</row>
    <row r="213" spans="1:30" ht="24" x14ac:dyDescent="0.2">
      <c r="A213" s="8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</row>
    <row r="214" spans="1:30" ht="24" x14ac:dyDescent="0.2">
      <c r="A214" s="8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</row>
    <row r="215" spans="1:30" ht="24" x14ac:dyDescent="0.2">
      <c r="A215" s="8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</row>
    <row r="216" spans="1:30" ht="24" x14ac:dyDescent="0.2">
      <c r="A216" s="8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</row>
    <row r="217" spans="1:30" ht="24" x14ac:dyDescent="0.2">
      <c r="A217" s="8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</row>
    <row r="218" spans="1:30" ht="24" x14ac:dyDescent="0.2">
      <c r="A218" s="8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 spans="1:30" ht="24" x14ac:dyDescent="0.2">
      <c r="A219" s="8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 spans="1:30" ht="24" x14ac:dyDescent="0.2">
      <c r="A220" s="8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 spans="1:30" ht="24" x14ac:dyDescent="0.2">
      <c r="A221" s="8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 spans="1:30" ht="24" x14ac:dyDescent="0.2">
      <c r="A222" s="8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 spans="1:30" ht="24" x14ac:dyDescent="0.2">
      <c r="A223" s="8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 spans="1:30" ht="24" x14ac:dyDescent="0.2">
      <c r="A224" s="8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 spans="1:30" ht="24" x14ac:dyDescent="0.2">
      <c r="A225" s="8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 spans="1:30" ht="24" x14ac:dyDescent="0.2">
      <c r="A226" s="8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 spans="1:30" ht="24" x14ac:dyDescent="0.2">
      <c r="A227" s="8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 spans="1:30" ht="24" x14ac:dyDescent="0.2">
      <c r="A228" s="8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 spans="1:30" ht="24" x14ac:dyDescent="0.2">
      <c r="A229" s="8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 spans="1:30" ht="24" x14ac:dyDescent="0.2">
      <c r="A230" s="8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 spans="1:30" ht="24" x14ac:dyDescent="0.2">
      <c r="A231" s="8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 spans="1:30" ht="24" x14ac:dyDescent="0.2">
      <c r="A232" s="8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 spans="1:30" ht="24" x14ac:dyDescent="0.2">
      <c r="A233" s="8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 spans="1:30" ht="24" x14ac:dyDescent="0.2">
      <c r="A234" s="8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 spans="1:30" ht="24" x14ac:dyDescent="0.2">
      <c r="A235" s="8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 spans="1:30" ht="24" x14ac:dyDescent="0.2">
      <c r="A236" s="8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 spans="1:30" ht="24" x14ac:dyDescent="0.2">
      <c r="A237" s="8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 spans="1:30" ht="24" x14ac:dyDescent="0.2">
      <c r="A238" s="8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 spans="1:30" ht="24" x14ac:dyDescent="0.2">
      <c r="A239" s="8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 spans="1:30" ht="24" x14ac:dyDescent="0.2">
      <c r="A240" s="8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 spans="1:30" ht="24" x14ac:dyDescent="0.2">
      <c r="A241" s="8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 spans="1:30" ht="24" x14ac:dyDescent="0.2">
      <c r="A242" s="8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 spans="1:30" ht="24" x14ac:dyDescent="0.2">
      <c r="A243" s="8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 spans="1:30" ht="24" x14ac:dyDescent="0.2">
      <c r="A244" s="8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 spans="1:30" ht="24" x14ac:dyDescent="0.2">
      <c r="A245" s="8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 spans="1:30" ht="24" x14ac:dyDescent="0.2">
      <c r="A246" s="8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 spans="1:30" ht="24" x14ac:dyDescent="0.2">
      <c r="A247" s="8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 spans="1:30" ht="24" x14ac:dyDescent="0.2">
      <c r="A248" s="8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 spans="1:30" ht="24" x14ac:dyDescent="0.2">
      <c r="A249" s="8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 spans="1:30" ht="24" x14ac:dyDescent="0.2">
      <c r="A250" s="8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 spans="1:30" ht="24" x14ac:dyDescent="0.2">
      <c r="A251" s="8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 spans="1:30" ht="24" x14ac:dyDescent="0.2">
      <c r="A252" s="8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spans="1:30" ht="24" x14ac:dyDescent="0.2">
      <c r="A253" s="8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 spans="1:30" ht="24" x14ac:dyDescent="0.2">
      <c r="A254" s="8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spans="1:30" ht="24" x14ac:dyDescent="0.2">
      <c r="A255" s="8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 spans="1:30" ht="24" x14ac:dyDescent="0.2">
      <c r="A256" s="8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 spans="1:30" ht="24" x14ac:dyDescent="0.2">
      <c r="A257" s="8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 spans="1:30" ht="24" x14ac:dyDescent="0.2">
      <c r="A258" s="8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 spans="1:30" ht="24" x14ac:dyDescent="0.2">
      <c r="A259" s="8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 spans="1:30" ht="24" x14ac:dyDescent="0.2">
      <c r="A260" s="8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 spans="1:30" ht="24" x14ac:dyDescent="0.2">
      <c r="A261" s="8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 spans="1:30" ht="24" x14ac:dyDescent="0.2">
      <c r="A262" s="8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 spans="1:30" ht="24" x14ac:dyDescent="0.2">
      <c r="A263" s="8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spans="1:30" ht="24" x14ac:dyDescent="0.2">
      <c r="A264" s="8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spans="1:30" ht="24" x14ac:dyDescent="0.2">
      <c r="A265" s="8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 spans="1:30" ht="24" x14ac:dyDescent="0.2">
      <c r="A266" s="8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 spans="1:30" ht="24" x14ac:dyDescent="0.2">
      <c r="A267" s="8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 spans="1:30" ht="24" x14ac:dyDescent="0.2">
      <c r="A268" s="8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spans="1:30" ht="24" x14ac:dyDescent="0.2">
      <c r="A269" s="8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 spans="1:30" ht="24" x14ac:dyDescent="0.2">
      <c r="A270" s="8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 spans="1:30" ht="24" x14ac:dyDescent="0.2">
      <c r="A271" s="8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 spans="1:30" ht="24" x14ac:dyDescent="0.2">
      <c r="A272" s="8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 spans="1:30" ht="24" x14ac:dyDescent="0.2">
      <c r="A273" s="8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 spans="1:30" ht="24" x14ac:dyDescent="0.2">
      <c r="A274" s="8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 spans="1:30" ht="24" x14ac:dyDescent="0.2">
      <c r="A275" s="8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 spans="1:30" ht="24" x14ac:dyDescent="0.2">
      <c r="A276" s="8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 spans="1:30" ht="24" x14ac:dyDescent="0.2">
      <c r="A277" s="8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spans="1:30" ht="24" x14ac:dyDescent="0.2">
      <c r="A278" s="8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 spans="1:30" ht="24" x14ac:dyDescent="0.2">
      <c r="A279" s="8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spans="1:30" ht="24" x14ac:dyDescent="0.2">
      <c r="A280" s="8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 spans="1:30" ht="24" x14ac:dyDescent="0.2">
      <c r="A281" s="8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 spans="1:30" ht="24" x14ac:dyDescent="0.2">
      <c r="A282" s="8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 spans="1:30" ht="24" x14ac:dyDescent="0.2">
      <c r="A283" s="8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 spans="1:30" ht="24" x14ac:dyDescent="0.2">
      <c r="A284" s="8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 spans="1:30" ht="24" x14ac:dyDescent="0.2">
      <c r="A285" s="8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 spans="1:30" ht="24" x14ac:dyDescent="0.2">
      <c r="A286" s="8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 spans="1:30" ht="24" x14ac:dyDescent="0.2">
      <c r="A287" s="8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 spans="1:30" ht="24" x14ac:dyDescent="0.2">
      <c r="A288" s="8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 spans="1:30" ht="24" x14ac:dyDescent="0.2">
      <c r="A289" s="8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 spans="1:30" ht="24" x14ac:dyDescent="0.2">
      <c r="A290" s="8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 spans="1:30" ht="24" x14ac:dyDescent="0.2">
      <c r="A291" s="8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 spans="1:30" ht="24" x14ac:dyDescent="0.2">
      <c r="A292" s="8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 spans="1:30" ht="24" x14ac:dyDescent="0.2">
      <c r="A293" s="8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spans="1:30" ht="24" x14ac:dyDescent="0.2">
      <c r="A294" s="8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 spans="1:30" ht="24" x14ac:dyDescent="0.2">
      <c r="A295" s="8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 spans="1:30" ht="24" x14ac:dyDescent="0.2">
      <c r="A296" s="8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spans="1:30" ht="24" x14ac:dyDescent="0.2">
      <c r="A297" s="8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 spans="1:30" ht="24" x14ac:dyDescent="0.2">
      <c r="A298" s="8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spans="1:30" ht="24" x14ac:dyDescent="0.2">
      <c r="A299" s="8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 spans="1:30" ht="24" x14ac:dyDescent="0.2">
      <c r="A300" s="8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 spans="1:30" ht="24" x14ac:dyDescent="0.2">
      <c r="A301" s="8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 spans="1:30" ht="24" x14ac:dyDescent="0.2">
      <c r="A302" s="8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 spans="1:30" ht="24" x14ac:dyDescent="0.2">
      <c r="A303" s="8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 spans="1:30" ht="24" x14ac:dyDescent="0.2">
      <c r="A304" s="8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 spans="1:30" ht="24" x14ac:dyDescent="0.2">
      <c r="A305" s="8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 spans="1:30" ht="24" x14ac:dyDescent="0.2">
      <c r="A306" s="8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 spans="1:30" ht="24" x14ac:dyDescent="0.2">
      <c r="A307" s="8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 spans="1:30" ht="24" x14ac:dyDescent="0.2">
      <c r="A308" s="8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 spans="1:30" ht="24" x14ac:dyDescent="0.2">
      <c r="A309" s="8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 spans="1:30" ht="24" x14ac:dyDescent="0.2">
      <c r="A310" s="8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 spans="1:30" ht="24" x14ac:dyDescent="0.2">
      <c r="A311" s="8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 spans="1:30" ht="24" x14ac:dyDescent="0.2">
      <c r="A312" s="8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 spans="1:30" ht="24" x14ac:dyDescent="0.2">
      <c r="A313" s="8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 spans="1:30" ht="24" x14ac:dyDescent="0.2">
      <c r="A314" s="8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 spans="1:30" ht="24" x14ac:dyDescent="0.2">
      <c r="A315" s="8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spans="1:30" ht="24" x14ac:dyDescent="0.2">
      <c r="A316" s="8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spans="1:30" ht="24" x14ac:dyDescent="0.2">
      <c r="A317" s="8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spans="1:30" ht="24" x14ac:dyDescent="0.2">
      <c r="A318" s="8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spans="1:30" ht="24" x14ac:dyDescent="0.2">
      <c r="A319" s="8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spans="1:30" ht="24" x14ac:dyDescent="0.2">
      <c r="A320" s="8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spans="1:30" ht="24" x14ac:dyDescent="0.2">
      <c r="A321" s="8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spans="1:30" ht="24" x14ac:dyDescent="0.2">
      <c r="A322" s="8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spans="1:30" ht="24" x14ac:dyDescent="0.2">
      <c r="A323" s="8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spans="1:30" ht="24" x14ac:dyDescent="0.2">
      <c r="A324" s="8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spans="1:30" ht="24" x14ac:dyDescent="0.2">
      <c r="A325" s="8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spans="1:30" ht="24" x14ac:dyDescent="0.2">
      <c r="A326" s="8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spans="1:30" ht="24" x14ac:dyDescent="0.2">
      <c r="A327" s="8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spans="1:30" ht="24" x14ac:dyDescent="0.2">
      <c r="A328" s="8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spans="1:30" ht="24" x14ac:dyDescent="0.2">
      <c r="A329" s="8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spans="1:30" ht="24" x14ac:dyDescent="0.2">
      <c r="A330" s="8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spans="1:30" ht="24" x14ac:dyDescent="0.2">
      <c r="A331" s="8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spans="1:30" ht="24" x14ac:dyDescent="0.2">
      <c r="A332" s="8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spans="1:30" ht="24" x14ac:dyDescent="0.2">
      <c r="A333" s="8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spans="1:30" ht="24" x14ac:dyDescent="0.2">
      <c r="A334" s="8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spans="1:30" ht="24" x14ac:dyDescent="0.2">
      <c r="A335" s="8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spans="1:30" ht="24" x14ac:dyDescent="0.2">
      <c r="A336" s="8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spans="1:30" ht="24" x14ac:dyDescent="0.2">
      <c r="A337" s="8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spans="1:30" ht="24" x14ac:dyDescent="0.2">
      <c r="A338" s="8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spans="1:30" ht="24" x14ac:dyDescent="0.2">
      <c r="A339" s="8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spans="1:30" ht="24" x14ac:dyDescent="0.2">
      <c r="A340" s="8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spans="1:30" ht="24" x14ac:dyDescent="0.2">
      <c r="A341" s="8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spans="1:30" ht="24" x14ac:dyDescent="0.2">
      <c r="A342" s="8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spans="1:30" ht="24" x14ac:dyDescent="0.2">
      <c r="A343" s="8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spans="1:30" ht="24" x14ac:dyDescent="0.2">
      <c r="A344" s="8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spans="1:30" ht="24" x14ac:dyDescent="0.2">
      <c r="A345" s="8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spans="1:30" ht="24" x14ac:dyDescent="0.2">
      <c r="A346" s="8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spans="1:30" ht="24" x14ac:dyDescent="0.2">
      <c r="A347" s="8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spans="1:30" ht="24" x14ac:dyDescent="0.2">
      <c r="A348" s="8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spans="1:30" ht="24" x14ac:dyDescent="0.2">
      <c r="A349" s="8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spans="1:30" ht="24" x14ac:dyDescent="0.2">
      <c r="A350" s="8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spans="1:30" ht="24" x14ac:dyDescent="0.2">
      <c r="A351" s="8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spans="1:30" ht="24" x14ac:dyDescent="0.2">
      <c r="A352" s="8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spans="1:30" ht="24" x14ac:dyDescent="0.2">
      <c r="A353" s="8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spans="1:30" ht="24" x14ac:dyDescent="0.2">
      <c r="A354" s="8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spans="1:30" ht="24" x14ac:dyDescent="0.2">
      <c r="A355" s="8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spans="1:30" ht="24" x14ac:dyDescent="0.2">
      <c r="A356" s="8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spans="1:30" ht="24" x14ac:dyDescent="0.2">
      <c r="A357" s="8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spans="1:30" ht="24" x14ac:dyDescent="0.2">
      <c r="A358" s="8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spans="1:30" ht="24" x14ac:dyDescent="0.2">
      <c r="A359" s="8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spans="1:30" ht="24" x14ac:dyDescent="0.2">
      <c r="A360" s="8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spans="1:30" ht="24" x14ac:dyDescent="0.2">
      <c r="A361" s="8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spans="1:30" ht="24" x14ac:dyDescent="0.2">
      <c r="A362" s="8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spans="1:30" ht="24" x14ac:dyDescent="0.2">
      <c r="A363" s="8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spans="1:30" ht="24" x14ac:dyDescent="0.2">
      <c r="A364" s="8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spans="1:30" ht="24" x14ac:dyDescent="0.2">
      <c r="A365" s="8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spans="1:30" ht="24" x14ac:dyDescent="0.2">
      <c r="A366" s="8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spans="1:30" ht="24" x14ac:dyDescent="0.2">
      <c r="A367" s="8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spans="1:30" ht="24" x14ac:dyDescent="0.2">
      <c r="A368" s="8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spans="1:30" ht="24" x14ac:dyDescent="0.2">
      <c r="A369" s="8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spans="1:30" ht="24" x14ac:dyDescent="0.2">
      <c r="A370" s="8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spans="1:30" ht="24" x14ac:dyDescent="0.2">
      <c r="A371" s="8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spans="1:30" ht="24" x14ac:dyDescent="0.2">
      <c r="A372" s="8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spans="1:30" ht="24" x14ac:dyDescent="0.2">
      <c r="A373" s="8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spans="1:30" ht="24" x14ac:dyDescent="0.2">
      <c r="A374" s="8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spans="1:30" ht="24" x14ac:dyDescent="0.2">
      <c r="A375" s="8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spans="1:30" ht="24" x14ac:dyDescent="0.2">
      <c r="A376" s="8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spans="1:30" ht="24" x14ac:dyDescent="0.2">
      <c r="A377" s="8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spans="1:30" ht="24" x14ac:dyDescent="0.2">
      <c r="A378" s="8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spans="1:30" ht="24" x14ac:dyDescent="0.2">
      <c r="A379" s="8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spans="1:30" ht="24" x14ac:dyDescent="0.2">
      <c r="A380" s="8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spans="1:30" ht="24" x14ac:dyDescent="0.2">
      <c r="A381" s="8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spans="1:30" ht="24" x14ac:dyDescent="0.2">
      <c r="A382" s="8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spans="1:30" ht="24" x14ac:dyDescent="0.2">
      <c r="A383" s="8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spans="1:30" ht="24" x14ac:dyDescent="0.2">
      <c r="A384" s="8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spans="1:30" ht="24" x14ac:dyDescent="0.2">
      <c r="A385" s="8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spans="1:30" ht="24" x14ac:dyDescent="0.2">
      <c r="A386" s="8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spans="1:30" ht="24" x14ac:dyDescent="0.2">
      <c r="A387" s="8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spans="1:30" ht="24" x14ac:dyDescent="0.2">
      <c r="A388" s="8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spans="1:30" ht="24" x14ac:dyDescent="0.2">
      <c r="A389" s="8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spans="1:30" ht="24" x14ac:dyDescent="0.2">
      <c r="A390" s="8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spans="1:30" ht="24" x14ac:dyDescent="0.2">
      <c r="A391" s="8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spans="1:30" ht="24" x14ac:dyDescent="0.2">
      <c r="A392" s="8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spans="1:30" ht="24" x14ac:dyDescent="0.2">
      <c r="A393" s="8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spans="1:30" ht="24" x14ac:dyDescent="0.2">
      <c r="A394" s="8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spans="1:30" ht="24" x14ac:dyDescent="0.2">
      <c r="A395" s="8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spans="1:30" ht="24" x14ac:dyDescent="0.2">
      <c r="A396" s="8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spans="1:30" ht="24" x14ac:dyDescent="0.2">
      <c r="A397" s="8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spans="1:30" ht="24" x14ac:dyDescent="0.2">
      <c r="A398" s="8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spans="1:30" ht="24" x14ac:dyDescent="0.2">
      <c r="A399" s="8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spans="1:30" ht="24" x14ac:dyDescent="0.2">
      <c r="A400" s="8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spans="1:30" ht="24" x14ac:dyDescent="0.2">
      <c r="A401" s="8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spans="1:30" ht="24" x14ac:dyDescent="0.2">
      <c r="A402" s="8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spans="1:30" ht="24" x14ac:dyDescent="0.2">
      <c r="A403" s="8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spans="1:30" ht="24" x14ac:dyDescent="0.2">
      <c r="A404" s="8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spans="1:30" ht="24" x14ac:dyDescent="0.2">
      <c r="A405" s="8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spans="1:30" ht="24" x14ac:dyDescent="0.2">
      <c r="A406" s="8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spans="1:30" ht="24" x14ac:dyDescent="0.2">
      <c r="A407" s="8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spans="1:30" ht="24" x14ac:dyDescent="0.2">
      <c r="A408" s="8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spans="1:30" ht="24" x14ac:dyDescent="0.2">
      <c r="A409" s="8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spans="1:30" ht="24" x14ac:dyDescent="0.2">
      <c r="A410" s="8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spans="1:30" ht="24" x14ac:dyDescent="0.2">
      <c r="A411" s="8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spans="1:30" ht="24" x14ac:dyDescent="0.2">
      <c r="A412" s="8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spans="1:30" ht="24" x14ac:dyDescent="0.2">
      <c r="A413" s="8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spans="1:30" ht="24" x14ac:dyDescent="0.2">
      <c r="A414" s="8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spans="1:30" ht="24" x14ac:dyDescent="0.2">
      <c r="A415" s="8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spans="1:30" ht="24" x14ac:dyDescent="0.2">
      <c r="A416" s="8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spans="1:30" ht="24" x14ac:dyDescent="0.2">
      <c r="A417" s="8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spans="1:30" ht="24" x14ac:dyDescent="0.2">
      <c r="A418" s="8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spans="1:30" ht="24" x14ac:dyDescent="0.2">
      <c r="A419" s="8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spans="1:30" ht="24" x14ac:dyDescent="0.2">
      <c r="A420" s="8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spans="1:30" ht="24" x14ac:dyDescent="0.2">
      <c r="A421" s="8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spans="1:30" ht="24" x14ac:dyDescent="0.2">
      <c r="A422" s="8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spans="1:30" ht="24" x14ac:dyDescent="0.2">
      <c r="A423" s="8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spans="1:30" ht="24" x14ac:dyDescent="0.2">
      <c r="A424" s="8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spans="1:30" ht="24" x14ac:dyDescent="0.2">
      <c r="A425" s="8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spans="1:30" ht="24" x14ac:dyDescent="0.2">
      <c r="A426" s="8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spans="1:30" ht="24" x14ac:dyDescent="0.2">
      <c r="A427" s="8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spans="1:30" ht="24" x14ac:dyDescent="0.2">
      <c r="A428" s="8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spans="1:30" ht="24" x14ac:dyDescent="0.2">
      <c r="A429" s="8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spans="1:30" ht="24" x14ac:dyDescent="0.2">
      <c r="A430" s="8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spans="1:30" ht="24" x14ac:dyDescent="0.2">
      <c r="A431" s="8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spans="1:30" ht="24" x14ac:dyDescent="0.2">
      <c r="A432" s="8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spans="1:30" ht="24" x14ac:dyDescent="0.2">
      <c r="A433" s="8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spans="1:30" ht="24" x14ac:dyDescent="0.2">
      <c r="A434" s="8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spans="1:30" ht="24" x14ac:dyDescent="0.2">
      <c r="A435" s="8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spans="1:30" ht="24" x14ac:dyDescent="0.2">
      <c r="A436" s="8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spans="1:30" ht="24" x14ac:dyDescent="0.2">
      <c r="A437" s="8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spans="1:30" ht="24" x14ac:dyDescent="0.2">
      <c r="A438" s="8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spans="1:30" ht="24" x14ac:dyDescent="0.2">
      <c r="A439" s="8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spans="1:30" ht="24" x14ac:dyDescent="0.2">
      <c r="A440" s="8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spans="1:30" ht="24" x14ac:dyDescent="0.2">
      <c r="A441" s="8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spans="1:30" ht="24" x14ac:dyDescent="0.2">
      <c r="A442" s="8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spans="1:30" ht="24" x14ac:dyDescent="0.2">
      <c r="A443" s="8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spans="1:30" ht="24" x14ac:dyDescent="0.2">
      <c r="A444" s="8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spans="1:30" ht="24" x14ac:dyDescent="0.2">
      <c r="A445" s="8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spans="1:30" ht="24" x14ac:dyDescent="0.2">
      <c r="A446" s="8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spans="1:30" ht="24" x14ac:dyDescent="0.2">
      <c r="A447" s="8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spans="1:30" ht="24" x14ac:dyDescent="0.2">
      <c r="A448" s="8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spans="1:30" ht="24" x14ac:dyDescent="0.2">
      <c r="A449" s="8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spans="1:30" ht="24" x14ac:dyDescent="0.2">
      <c r="A450" s="8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spans="1:30" ht="24" x14ac:dyDescent="0.2">
      <c r="A451" s="8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spans="1:30" ht="24" x14ac:dyDescent="0.2">
      <c r="A452" s="8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spans="1:30" ht="24" x14ac:dyDescent="0.2">
      <c r="A453" s="8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spans="1:30" ht="24" x14ac:dyDescent="0.2">
      <c r="A454" s="8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spans="1:30" ht="24" x14ac:dyDescent="0.2">
      <c r="A455" s="8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spans="1:30" ht="24" x14ac:dyDescent="0.2">
      <c r="A456" s="8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spans="1:30" ht="24" x14ac:dyDescent="0.2">
      <c r="A457" s="8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spans="1:30" ht="24" x14ac:dyDescent="0.2">
      <c r="A458" s="8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spans="1:30" ht="24" x14ac:dyDescent="0.2">
      <c r="A459" s="8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spans="1:30" ht="24" x14ac:dyDescent="0.2">
      <c r="A460" s="8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spans="1:30" ht="24" x14ac:dyDescent="0.2">
      <c r="A461" s="8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spans="1:30" ht="24" x14ac:dyDescent="0.2">
      <c r="A462" s="8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spans="1:30" ht="24" x14ac:dyDescent="0.2">
      <c r="A463" s="8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spans="1:30" ht="24" x14ac:dyDescent="0.2">
      <c r="A464" s="8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spans="1:30" ht="24" x14ac:dyDescent="0.2">
      <c r="A465" s="8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spans="1:30" ht="24" x14ac:dyDescent="0.2">
      <c r="A466" s="8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spans="1:30" ht="24" x14ac:dyDescent="0.2">
      <c r="A467" s="8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spans="1:30" ht="24" x14ac:dyDescent="0.2">
      <c r="A468" s="8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spans="1:30" ht="24" x14ac:dyDescent="0.2">
      <c r="A469" s="8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spans="1:30" ht="24" x14ac:dyDescent="0.2">
      <c r="A470" s="8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spans="1:30" ht="24" x14ac:dyDescent="0.2">
      <c r="A471" s="8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spans="1:30" ht="24" x14ac:dyDescent="0.2">
      <c r="A472" s="8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spans="1:30" ht="24" x14ac:dyDescent="0.2">
      <c r="A473" s="8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spans="1:30" ht="24" x14ac:dyDescent="0.2">
      <c r="A474" s="8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spans="1:30" ht="24" x14ac:dyDescent="0.2">
      <c r="A475" s="8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spans="1:30" ht="24" x14ac:dyDescent="0.2">
      <c r="A476" s="8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spans="1:30" ht="24" x14ac:dyDescent="0.2">
      <c r="A477" s="8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spans="1:30" ht="24" x14ac:dyDescent="0.2">
      <c r="A478" s="8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spans="1:30" ht="24" x14ac:dyDescent="0.2">
      <c r="A479" s="8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spans="1:30" ht="24" x14ac:dyDescent="0.2">
      <c r="A480" s="8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spans="1:30" ht="24" x14ac:dyDescent="0.2">
      <c r="A481" s="8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spans="1:30" ht="24" x14ac:dyDescent="0.2">
      <c r="A482" s="8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spans="1:30" ht="24" x14ac:dyDescent="0.2">
      <c r="A483" s="8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spans="1:30" ht="24" x14ac:dyDescent="0.2">
      <c r="A484" s="8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spans="1:30" ht="24" x14ac:dyDescent="0.2">
      <c r="A485" s="8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spans="1:30" ht="24" x14ac:dyDescent="0.2">
      <c r="A486" s="8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spans="1:30" ht="24" x14ac:dyDescent="0.2">
      <c r="A487" s="8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spans="1:30" ht="24" x14ac:dyDescent="0.2">
      <c r="A488" s="8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spans="1:30" ht="24" x14ac:dyDescent="0.2">
      <c r="A489" s="8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spans="1:30" ht="24" x14ac:dyDescent="0.2">
      <c r="A490" s="8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spans="1:30" ht="24" x14ac:dyDescent="0.2">
      <c r="A491" s="8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spans="1:30" ht="24" x14ac:dyDescent="0.2">
      <c r="A492" s="8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spans="1:30" ht="24" x14ac:dyDescent="0.2">
      <c r="A493" s="8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spans="1:30" ht="24" x14ac:dyDescent="0.2">
      <c r="A494" s="8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spans="1:30" ht="24" x14ac:dyDescent="0.2">
      <c r="A495" s="8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spans="1:30" ht="24" x14ac:dyDescent="0.2">
      <c r="A496" s="8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spans="1:30" ht="24" x14ac:dyDescent="0.2">
      <c r="A497" s="8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spans="1:30" ht="24" x14ac:dyDescent="0.2">
      <c r="A498" s="8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spans="1:30" ht="24" x14ac:dyDescent="0.2">
      <c r="A499" s="8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spans="1:30" ht="24" x14ac:dyDescent="0.2">
      <c r="A500" s="8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spans="1:30" ht="24" x14ac:dyDescent="0.2">
      <c r="A501" s="8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spans="1:30" ht="24" x14ac:dyDescent="0.2">
      <c r="A502" s="8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spans="1:30" ht="24" x14ac:dyDescent="0.2">
      <c r="A503" s="8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spans="1:30" ht="24" x14ac:dyDescent="0.2">
      <c r="A504" s="8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spans="1:30" ht="24" x14ac:dyDescent="0.2">
      <c r="A505" s="8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spans="1:30" ht="24" x14ac:dyDescent="0.2">
      <c r="A506" s="8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spans="1:30" ht="24" x14ac:dyDescent="0.2">
      <c r="A507" s="8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spans="1:30" ht="24" x14ac:dyDescent="0.2">
      <c r="A508" s="8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spans="1:30" ht="24" x14ac:dyDescent="0.2">
      <c r="A509" s="8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spans="1:30" ht="24" x14ac:dyDescent="0.2">
      <c r="A510" s="8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spans="1:30" ht="24" x14ac:dyDescent="0.2">
      <c r="A511" s="8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spans="1:30" ht="24" x14ac:dyDescent="0.2">
      <c r="A512" s="8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spans="1:30" ht="24" x14ac:dyDescent="0.2">
      <c r="A513" s="8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spans="1:30" ht="24" x14ac:dyDescent="0.2">
      <c r="A514" s="8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spans="1:30" ht="24" x14ac:dyDescent="0.2">
      <c r="A515" s="8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spans="1:30" ht="24" x14ac:dyDescent="0.2">
      <c r="A516" s="8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spans="1:30" ht="24" x14ac:dyDescent="0.2">
      <c r="A517" s="8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spans="1:30" ht="24" x14ac:dyDescent="0.2">
      <c r="A518" s="8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spans="1:30" ht="24" x14ac:dyDescent="0.2">
      <c r="A519" s="8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spans="1:30" ht="24" x14ac:dyDescent="0.2">
      <c r="A520" s="8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spans="1:30" ht="24" x14ac:dyDescent="0.2">
      <c r="A521" s="8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spans="1:30" ht="24" x14ac:dyDescent="0.2">
      <c r="A522" s="8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spans="1:30" ht="24" x14ac:dyDescent="0.2">
      <c r="A523" s="8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spans="1:30" ht="24" x14ac:dyDescent="0.2">
      <c r="A524" s="8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spans="1:30" ht="24" x14ac:dyDescent="0.2">
      <c r="A525" s="8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spans="1:30" ht="24" x14ac:dyDescent="0.2">
      <c r="A526" s="8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spans="1:30" ht="24" x14ac:dyDescent="0.2">
      <c r="A527" s="8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spans="1:30" ht="24" x14ac:dyDescent="0.2">
      <c r="A528" s="8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spans="1:30" ht="24" x14ac:dyDescent="0.2">
      <c r="A529" s="8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spans="1:30" ht="24" x14ac:dyDescent="0.2">
      <c r="A530" s="8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spans="1:30" ht="24" x14ac:dyDescent="0.2">
      <c r="A531" s="8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spans="1:30" ht="24" x14ac:dyDescent="0.2">
      <c r="A532" s="8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spans="1:30" ht="24" x14ac:dyDescent="0.2">
      <c r="A533" s="8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spans="1:30" ht="24" x14ac:dyDescent="0.2">
      <c r="A534" s="8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spans="1:30" ht="24" x14ac:dyDescent="0.2">
      <c r="A535" s="8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spans="1:30" ht="24" x14ac:dyDescent="0.2">
      <c r="A536" s="8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spans="1:30" ht="24" x14ac:dyDescent="0.2">
      <c r="A537" s="8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spans="1:30" ht="24" x14ac:dyDescent="0.2">
      <c r="A538" s="8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spans="1:30" ht="24" x14ac:dyDescent="0.2">
      <c r="A539" s="8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spans="1:30" ht="24" x14ac:dyDescent="0.2">
      <c r="A540" s="8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spans="1:30" ht="24" x14ac:dyDescent="0.2">
      <c r="A541" s="8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spans="1:30" ht="24" x14ac:dyDescent="0.2">
      <c r="A542" s="8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spans="1:30" ht="24" x14ac:dyDescent="0.2">
      <c r="A543" s="8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spans="1:30" ht="24" x14ac:dyDescent="0.2">
      <c r="A544" s="8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spans="1:30" ht="24" x14ac:dyDescent="0.2">
      <c r="A545" s="8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spans="1:30" ht="24" x14ac:dyDescent="0.2">
      <c r="A546" s="8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spans="1:30" ht="24" x14ac:dyDescent="0.2">
      <c r="A547" s="8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spans="1:30" ht="24" x14ac:dyDescent="0.2">
      <c r="A548" s="8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spans="1:30" ht="24" x14ac:dyDescent="0.2">
      <c r="A549" s="8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spans="1:30" ht="24" x14ac:dyDescent="0.2">
      <c r="A550" s="8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spans="1:30" ht="24" x14ac:dyDescent="0.2">
      <c r="A551" s="8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spans="1:30" ht="24" x14ac:dyDescent="0.2">
      <c r="A552" s="8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spans="1:30" ht="24" x14ac:dyDescent="0.2">
      <c r="A553" s="8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spans="1:30" ht="24" x14ac:dyDescent="0.2">
      <c r="A554" s="8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spans="1:30" ht="24" x14ac:dyDescent="0.2">
      <c r="A555" s="8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spans="1:30" ht="24" x14ac:dyDescent="0.2">
      <c r="A556" s="8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spans="1:30" ht="24" x14ac:dyDescent="0.2">
      <c r="A557" s="8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spans="1:30" ht="24" x14ac:dyDescent="0.2">
      <c r="A558" s="8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spans="1:30" ht="24" x14ac:dyDescent="0.2">
      <c r="A559" s="8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spans="1:30" ht="24" x14ac:dyDescent="0.2">
      <c r="A560" s="8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spans="1:30" ht="24" x14ac:dyDescent="0.2">
      <c r="A561" s="8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spans="1:30" ht="24" x14ac:dyDescent="0.2">
      <c r="A562" s="8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spans="1:30" ht="24" x14ac:dyDescent="0.2">
      <c r="A563" s="8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spans="1:30" ht="24" x14ac:dyDescent="0.2">
      <c r="A564" s="8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spans="1:30" ht="24" x14ac:dyDescent="0.2">
      <c r="A565" s="8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spans="1:30" ht="24" x14ac:dyDescent="0.2">
      <c r="A566" s="8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spans="1:30" ht="24" x14ac:dyDescent="0.2">
      <c r="A567" s="8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spans="1:30" ht="24" x14ac:dyDescent="0.2">
      <c r="A568" s="8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spans="1:30" ht="24" x14ac:dyDescent="0.2">
      <c r="A569" s="8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spans="1:30" ht="24" x14ac:dyDescent="0.2">
      <c r="A570" s="8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spans="1:30" ht="24" x14ac:dyDescent="0.2">
      <c r="A571" s="8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spans="1:30" ht="24" x14ac:dyDescent="0.2">
      <c r="A572" s="8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spans="1:30" ht="24" x14ac:dyDescent="0.2">
      <c r="A573" s="8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spans="1:30" ht="24" x14ac:dyDescent="0.2">
      <c r="A574" s="8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spans="1:30" ht="24" x14ac:dyDescent="0.2">
      <c r="A575" s="8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spans="1:30" ht="24" x14ac:dyDescent="0.2">
      <c r="A576" s="8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spans="1:30" ht="24" x14ac:dyDescent="0.2">
      <c r="A577" s="8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spans="1:30" ht="24" x14ac:dyDescent="0.2">
      <c r="A578" s="8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spans="1:30" ht="24" x14ac:dyDescent="0.2">
      <c r="A579" s="8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spans="1:30" ht="24" x14ac:dyDescent="0.2">
      <c r="A580" s="8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spans="1:30" ht="24" x14ac:dyDescent="0.2">
      <c r="A581" s="8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spans="1:30" ht="24" x14ac:dyDescent="0.2">
      <c r="A582" s="8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spans="1:30" ht="24" x14ac:dyDescent="0.2">
      <c r="A583" s="8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spans="1:30" ht="24" x14ac:dyDescent="0.2">
      <c r="A584" s="8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spans="1:30" ht="24" x14ac:dyDescent="0.2">
      <c r="A585" s="8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spans="1:30" ht="24" x14ac:dyDescent="0.2">
      <c r="A586" s="8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spans="1:30" ht="24" x14ac:dyDescent="0.2">
      <c r="A587" s="8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spans="1:30" ht="24" x14ac:dyDescent="0.2">
      <c r="A588" s="8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spans="1:30" ht="24" x14ac:dyDescent="0.2">
      <c r="A589" s="8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spans="1:30" ht="24" x14ac:dyDescent="0.2">
      <c r="A590" s="8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spans="1:30" ht="24" x14ac:dyDescent="0.2">
      <c r="A591" s="8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spans="1:30" ht="24" x14ac:dyDescent="0.2">
      <c r="A592" s="8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spans="1:30" ht="24" x14ac:dyDescent="0.2">
      <c r="A593" s="8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spans="1:30" ht="24" x14ac:dyDescent="0.2">
      <c r="A594" s="8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spans="1:30" ht="24" x14ac:dyDescent="0.2">
      <c r="A595" s="8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spans="1:30" ht="24" x14ac:dyDescent="0.2">
      <c r="A596" s="8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spans="1:30" ht="24" x14ac:dyDescent="0.2">
      <c r="A597" s="8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spans="1:30" ht="24" x14ac:dyDescent="0.2">
      <c r="A598" s="8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spans="1:30" ht="24" x14ac:dyDescent="0.2">
      <c r="A599" s="8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spans="1:30" ht="24" x14ac:dyDescent="0.2">
      <c r="A600" s="8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spans="1:30" ht="24" x14ac:dyDescent="0.2">
      <c r="A601" s="8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spans="1:30" ht="24" x14ac:dyDescent="0.2">
      <c r="A602" s="8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spans="1:30" ht="24" x14ac:dyDescent="0.2">
      <c r="A603" s="8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spans="1:30" ht="24" x14ac:dyDescent="0.2">
      <c r="A604" s="8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spans="1:30" ht="24" x14ac:dyDescent="0.2">
      <c r="A605" s="8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spans="1:30" ht="24" x14ac:dyDescent="0.2">
      <c r="A606" s="8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spans="1:30" ht="24" x14ac:dyDescent="0.2">
      <c r="A607" s="8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spans="1:30" ht="24" x14ac:dyDescent="0.2">
      <c r="A608" s="8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spans="1:30" ht="24" x14ac:dyDescent="0.2">
      <c r="A609" s="8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spans="1:30" ht="24" x14ac:dyDescent="0.2">
      <c r="A610" s="8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spans="1:30" ht="24" x14ac:dyDescent="0.2">
      <c r="A611" s="8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spans="1:30" ht="24" x14ac:dyDescent="0.2">
      <c r="A612" s="8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spans="1:30" ht="24" x14ac:dyDescent="0.2">
      <c r="A613" s="8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spans="1:30" ht="24" x14ac:dyDescent="0.2">
      <c r="A614" s="8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spans="1:30" ht="24" x14ac:dyDescent="0.2">
      <c r="A615" s="8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spans="1:30" ht="24" x14ac:dyDescent="0.2">
      <c r="A616" s="8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spans="1:30" ht="24" x14ac:dyDescent="0.2">
      <c r="A617" s="8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spans="1:30" ht="24" x14ac:dyDescent="0.2">
      <c r="A618" s="8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spans="1:30" ht="24" x14ac:dyDescent="0.2">
      <c r="A619" s="8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spans="1:30" ht="24" x14ac:dyDescent="0.2">
      <c r="A620" s="8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spans="1:30" ht="24" x14ac:dyDescent="0.2">
      <c r="A621" s="8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spans="1:30" ht="24" x14ac:dyDescent="0.2">
      <c r="A622" s="8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spans="1:30" ht="24" x14ac:dyDescent="0.2">
      <c r="A623" s="8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spans="1:30" ht="24" x14ac:dyDescent="0.2">
      <c r="A624" s="8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spans="1:30" ht="24" x14ac:dyDescent="0.2">
      <c r="A625" s="8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spans="1:30" ht="24" x14ac:dyDescent="0.2">
      <c r="A626" s="8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spans="1:30" ht="24" x14ac:dyDescent="0.2">
      <c r="A627" s="8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spans="1:30" ht="24" x14ac:dyDescent="0.2">
      <c r="A628" s="8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spans="1:30" ht="24" x14ac:dyDescent="0.2">
      <c r="A629" s="8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spans="1:30" ht="24" x14ac:dyDescent="0.2">
      <c r="A630" s="8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spans="1:30" ht="24" x14ac:dyDescent="0.2">
      <c r="A631" s="8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spans="1:30" ht="24" x14ac:dyDescent="0.2">
      <c r="A632" s="8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spans="1:30" ht="24" x14ac:dyDescent="0.2">
      <c r="A633" s="8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spans="1:30" ht="24" x14ac:dyDescent="0.2">
      <c r="A634" s="8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spans="1:30" ht="24" x14ac:dyDescent="0.2">
      <c r="A635" s="8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 spans="1:30" ht="24" x14ac:dyDescent="0.2">
      <c r="A636" s="8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 spans="1:30" ht="24" x14ac:dyDescent="0.2">
      <c r="A637" s="8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 spans="1:30" ht="24" x14ac:dyDescent="0.2">
      <c r="A638" s="8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 spans="1:30" ht="24" x14ac:dyDescent="0.2">
      <c r="A639" s="8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 spans="1:30" ht="24" x14ac:dyDescent="0.2">
      <c r="A640" s="8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 spans="1:30" ht="24" x14ac:dyDescent="0.2">
      <c r="A641" s="8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 spans="1:30" ht="24" x14ac:dyDescent="0.2">
      <c r="A642" s="8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 spans="1:30" ht="24" x14ac:dyDescent="0.2">
      <c r="A643" s="8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 spans="1:30" ht="24" x14ac:dyDescent="0.2">
      <c r="A644" s="8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 spans="1:30" ht="24" x14ac:dyDescent="0.2">
      <c r="A645" s="8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 spans="1:30" ht="24" x14ac:dyDescent="0.2">
      <c r="A646" s="8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 spans="1:30" ht="24" x14ac:dyDescent="0.2">
      <c r="A647" s="8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 spans="1:30" ht="24" x14ac:dyDescent="0.2">
      <c r="A648" s="8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 spans="1:30" ht="24" x14ac:dyDescent="0.2">
      <c r="A649" s="8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 spans="1:30" ht="24" x14ac:dyDescent="0.2">
      <c r="A650" s="8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 spans="1:30" ht="24" x14ac:dyDescent="0.2">
      <c r="A651" s="8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 spans="1:30" ht="24" x14ac:dyDescent="0.2">
      <c r="A652" s="8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 spans="1:30" ht="24" x14ac:dyDescent="0.2">
      <c r="A653" s="8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 spans="1:30" ht="24" x14ac:dyDescent="0.2">
      <c r="A654" s="8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 spans="1:30" ht="24" x14ac:dyDescent="0.2">
      <c r="A655" s="8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 spans="1:30" ht="24" x14ac:dyDescent="0.2">
      <c r="A656" s="8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 spans="1:30" ht="24" x14ac:dyDescent="0.2">
      <c r="A657" s="8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 spans="1:30" ht="24" x14ac:dyDescent="0.2">
      <c r="A658" s="8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 spans="1:30" ht="24" x14ac:dyDescent="0.2">
      <c r="A659" s="8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 spans="1:30" ht="24" x14ac:dyDescent="0.2">
      <c r="A660" s="8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 spans="1:30" ht="24" x14ac:dyDescent="0.2">
      <c r="A661" s="8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 spans="1:30" ht="24" x14ac:dyDescent="0.2">
      <c r="A662" s="8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 spans="1:30" ht="24" x14ac:dyDescent="0.2">
      <c r="A663" s="8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 spans="1:30" ht="24" x14ac:dyDescent="0.2">
      <c r="A664" s="8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 spans="1:30" ht="24" x14ac:dyDescent="0.2">
      <c r="A665" s="8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 spans="1:30" ht="24" x14ac:dyDescent="0.2">
      <c r="A666" s="8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 spans="1:30" ht="24" x14ac:dyDescent="0.2">
      <c r="A667" s="8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 spans="1:30" ht="24" x14ac:dyDescent="0.2">
      <c r="A668" s="8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 spans="1:30" ht="24" x14ac:dyDescent="0.2">
      <c r="A669" s="8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 spans="1:30" ht="24" x14ac:dyDescent="0.2">
      <c r="A670" s="8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 spans="1:30" ht="24" x14ac:dyDescent="0.2">
      <c r="A671" s="8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 spans="1:30" ht="24" x14ac:dyDescent="0.2">
      <c r="A672" s="8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 spans="1:30" ht="24" x14ac:dyDescent="0.2">
      <c r="A673" s="8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 spans="1:30" ht="24" x14ac:dyDescent="0.2">
      <c r="A674" s="8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 spans="1:30" ht="24" x14ac:dyDescent="0.2">
      <c r="A675" s="8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 spans="1:30" ht="24" x14ac:dyDescent="0.2">
      <c r="A676" s="8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 spans="1:30" ht="24" x14ac:dyDescent="0.2">
      <c r="A677" s="8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 spans="1:30" ht="24" x14ac:dyDescent="0.2">
      <c r="A678" s="8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 spans="1:30" ht="24" x14ac:dyDescent="0.2">
      <c r="A679" s="8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 spans="1:30" ht="24" x14ac:dyDescent="0.2">
      <c r="A680" s="8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 spans="1:30" ht="24" x14ac:dyDescent="0.2">
      <c r="A681" s="8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 spans="1:30" ht="24" x14ac:dyDescent="0.2">
      <c r="A682" s="8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 spans="1:30" ht="24" x14ac:dyDescent="0.2">
      <c r="A683" s="8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 spans="1:30" ht="24" x14ac:dyDescent="0.2">
      <c r="A684" s="8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 spans="1:30" ht="24" x14ac:dyDescent="0.2">
      <c r="A685" s="8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 spans="1:30" ht="24" x14ac:dyDescent="0.2">
      <c r="A686" s="8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 spans="1:30" ht="24" x14ac:dyDescent="0.2">
      <c r="A687" s="8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 spans="1:30" ht="24" x14ac:dyDescent="0.2">
      <c r="A688" s="8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 spans="1:30" ht="24" x14ac:dyDescent="0.2">
      <c r="A689" s="8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 spans="1:30" ht="24" x14ac:dyDescent="0.2">
      <c r="A690" s="8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 spans="1:30" ht="24" x14ac:dyDescent="0.2">
      <c r="A691" s="8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 spans="1:30" ht="24" x14ac:dyDescent="0.2">
      <c r="A692" s="8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 spans="1:30" ht="24" x14ac:dyDescent="0.2">
      <c r="A693" s="8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 spans="1:30" ht="24" x14ac:dyDescent="0.2">
      <c r="A694" s="8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 spans="1:30" ht="24" x14ac:dyDescent="0.2">
      <c r="A695" s="8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 spans="1:30" ht="24" x14ac:dyDescent="0.2">
      <c r="A696" s="8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 spans="1:30" ht="24" x14ac:dyDescent="0.2">
      <c r="A697" s="8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 spans="1:30" ht="24" x14ac:dyDescent="0.2">
      <c r="A698" s="8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 spans="1:30" ht="24" x14ac:dyDescent="0.2">
      <c r="A699" s="8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 spans="1:30" ht="24" x14ac:dyDescent="0.2">
      <c r="A700" s="8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 spans="1:30" ht="24" x14ac:dyDescent="0.2">
      <c r="A701" s="8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 spans="1:30" ht="24" x14ac:dyDescent="0.2">
      <c r="A702" s="8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 spans="1:30" ht="24" x14ac:dyDescent="0.2">
      <c r="A703" s="8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 spans="1:30" ht="24" x14ac:dyDescent="0.2">
      <c r="A704" s="8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 spans="1:30" ht="24" x14ac:dyDescent="0.2">
      <c r="A705" s="8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 spans="1:30" ht="24" x14ac:dyDescent="0.2">
      <c r="A706" s="8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 spans="1:30" ht="24" x14ac:dyDescent="0.2">
      <c r="A707" s="8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 spans="1:30" ht="24" x14ac:dyDescent="0.2">
      <c r="A708" s="8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 spans="1:30" ht="24" x14ac:dyDescent="0.2">
      <c r="A709" s="8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 spans="1:30" ht="24" x14ac:dyDescent="0.2">
      <c r="A710" s="8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 spans="1:30" ht="24" x14ac:dyDescent="0.2">
      <c r="A711" s="8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 spans="1:30" ht="24" x14ac:dyDescent="0.2">
      <c r="A712" s="8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 spans="1:30" ht="24" x14ac:dyDescent="0.2">
      <c r="A713" s="8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 spans="1:30" ht="24" x14ac:dyDescent="0.2">
      <c r="A714" s="8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 spans="1:30" ht="24" x14ac:dyDescent="0.2">
      <c r="A715" s="8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 spans="1:30" ht="24" x14ac:dyDescent="0.2">
      <c r="A716" s="8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 spans="1:30" ht="24" x14ac:dyDescent="0.2">
      <c r="A717" s="8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 spans="1:30" ht="24" x14ac:dyDescent="0.2">
      <c r="A718" s="8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 spans="1:30" ht="24" x14ac:dyDescent="0.2">
      <c r="A719" s="8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 spans="1:30" ht="24" x14ac:dyDescent="0.2">
      <c r="A720" s="8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 spans="1:30" ht="24" x14ac:dyDescent="0.2">
      <c r="A721" s="8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 spans="1:30" ht="24" x14ac:dyDescent="0.2">
      <c r="A722" s="8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 spans="1:30" ht="24" x14ac:dyDescent="0.2">
      <c r="A723" s="8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 spans="1:30" ht="24" x14ac:dyDescent="0.2">
      <c r="A724" s="8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 spans="1:30" ht="24" x14ac:dyDescent="0.2">
      <c r="A725" s="8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 spans="1:30" ht="24" x14ac:dyDescent="0.2">
      <c r="A726" s="8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 spans="1:30" ht="24" x14ac:dyDescent="0.2">
      <c r="A727" s="8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 spans="1:30" ht="24" x14ac:dyDescent="0.2">
      <c r="A728" s="8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 spans="1:30" ht="24" x14ac:dyDescent="0.2">
      <c r="A729" s="8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 spans="1:30" ht="24" x14ac:dyDescent="0.2">
      <c r="A730" s="8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 spans="1:30" ht="24" x14ac:dyDescent="0.2">
      <c r="A731" s="8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 spans="1:30" ht="24" x14ac:dyDescent="0.2">
      <c r="A732" s="8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 spans="1:30" ht="24" x14ac:dyDescent="0.2">
      <c r="A733" s="8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 spans="1:30" ht="24" x14ac:dyDescent="0.2">
      <c r="A734" s="8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 spans="1:30" ht="24" x14ac:dyDescent="0.2">
      <c r="A735" s="8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 spans="1:30" ht="24" x14ac:dyDescent="0.2">
      <c r="A736" s="8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 spans="1:30" ht="24" x14ac:dyDescent="0.2">
      <c r="A737" s="8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 spans="1:30" ht="24" x14ac:dyDescent="0.2">
      <c r="A738" s="8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 spans="1:30" ht="24" x14ac:dyDescent="0.2">
      <c r="A739" s="8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 spans="1:30" ht="24" x14ac:dyDescent="0.2">
      <c r="A740" s="8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 spans="1:30" ht="24" x14ac:dyDescent="0.2">
      <c r="A741" s="8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 spans="1:30" ht="24" x14ac:dyDescent="0.2">
      <c r="A742" s="8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 spans="1:30" ht="24" x14ac:dyDescent="0.2">
      <c r="A743" s="8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 spans="1:30" ht="24" x14ac:dyDescent="0.2">
      <c r="A744" s="8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 spans="1:30" ht="24" x14ac:dyDescent="0.2">
      <c r="A745" s="8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 spans="1:30" ht="24" x14ac:dyDescent="0.2">
      <c r="A746" s="8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 spans="1:30" ht="24" x14ac:dyDescent="0.2">
      <c r="A747" s="8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 spans="1:30" ht="24" x14ac:dyDescent="0.2">
      <c r="A748" s="8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 spans="1:30" ht="24" x14ac:dyDescent="0.2">
      <c r="A749" s="8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 spans="1:30" ht="24" x14ac:dyDescent="0.2">
      <c r="A750" s="8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 spans="1:30" ht="24" x14ac:dyDescent="0.2">
      <c r="A751" s="8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 spans="1:30" ht="24" x14ac:dyDescent="0.2">
      <c r="A752" s="8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 spans="1:30" ht="24" x14ac:dyDescent="0.2">
      <c r="A753" s="8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 spans="1:30" ht="24" x14ac:dyDescent="0.2">
      <c r="A754" s="8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 spans="1:30" ht="24" x14ac:dyDescent="0.2">
      <c r="A755" s="8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 spans="1:30" ht="24" x14ac:dyDescent="0.2">
      <c r="A756" s="8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 spans="1:30" ht="24" x14ac:dyDescent="0.2">
      <c r="A757" s="8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 spans="1:30" ht="24" x14ac:dyDescent="0.2">
      <c r="A758" s="8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 spans="1:30" ht="24" x14ac:dyDescent="0.2">
      <c r="A759" s="8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 spans="1:30" ht="24" x14ac:dyDescent="0.2">
      <c r="A760" s="8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 spans="1:30" ht="24" x14ac:dyDescent="0.2">
      <c r="A761" s="8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 spans="1:30" ht="24" x14ac:dyDescent="0.2">
      <c r="A762" s="8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 spans="1:30" ht="24" x14ac:dyDescent="0.2">
      <c r="A763" s="8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 spans="1:30" ht="24" x14ac:dyDescent="0.2">
      <c r="A764" s="8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 spans="1:30" ht="24" x14ac:dyDescent="0.2">
      <c r="A765" s="8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 spans="1:30" ht="24" x14ac:dyDescent="0.2">
      <c r="A766" s="8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 spans="1:30" ht="24" x14ac:dyDescent="0.2">
      <c r="A767" s="8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 spans="1:30" ht="24" x14ac:dyDescent="0.2">
      <c r="A768" s="8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 spans="1:30" ht="24" x14ac:dyDescent="0.2">
      <c r="A769" s="8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 spans="1:30" ht="24" x14ac:dyDescent="0.2">
      <c r="A770" s="8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 spans="1:30" ht="24" x14ac:dyDescent="0.2">
      <c r="A771" s="8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 spans="1:30" ht="24" x14ac:dyDescent="0.2">
      <c r="A772" s="8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 spans="1:30" ht="24" x14ac:dyDescent="0.2">
      <c r="A773" s="8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 spans="1:30" ht="24" x14ac:dyDescent="0.2">
      <c r="A774" s="8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 spans="1:30" ht="24" x14ac:dyDescent="0.2">
      <c r="A775" s="8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 spans="1:30" ht="24" x14ac:dyDescent="0.2">
      <c r="A776" s="8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 spans="1:30" ht="24" x14ac:dyDescent="0.2">
      <c r="A777" s="8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 spans="1:30" ht="24" x14ac:dyDescent="0.2">
      <c r="A778" s="8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 spans="1:30" ht="24" x14ac:dyDescent="0.2">
      <c r="A779" s="8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 spans="1:30" ht="24" x14ac:dyDescent="0.2">
      <c r="A780" s="8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 spans="1:30" ht="24" x14ac:dyDescent="0.2">
      <c r="A781" s="8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 spans="1:30" ht="24" x14ac:dyDescent="0.2">
      <c r="A782" s="8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 spans="1:30" ht="24" x14ac:dyDescent="0.2">
      <c r="A783" s="8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 spans="1:30" ht="24" x14ac:dyDescent="0.2">
      <c r="A784" s="8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 spans="1:30" ht="24" x14ac:dyDescent="0.2">
      <c r="A785" s="8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 spans="1:30" ht="24" x14ac:dyDescent="0.2">
      <c r="A786" s="8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 spans="1:30" ht="24" x14ac:dyDescent="0.2">
      <c r="A787" s="8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 spans="1:30" ht="24" x14ac:dyDescent="0.2">
      <c r="A788" s="8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 spans="1:30" ht="24" x14ac:dyDescent="0.2">
      <c r="A789" s="8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 spans="1:30" ht="24" x14ac:dyDescent="0.2">
      <c r="A790" s="8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 spans="1:30" ht="24" x14ac:dyDescent="0.2">
      <c r="A791" s="8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 spans="1:30" ht="24" x14ac:dyDescent="0.2">
      <c r="A792" s="8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 spans="1:30" ht="24" x14ac:dyDescent="0.2">
      <c r="A793" s="8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 spans="1:30" ht="24" x14ac:dyDescent="0.2">
      <c r="A794" s="8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 spans="1:30" ht="24" x14ac:dyDescent="0.2">
      <c r="A795" s="8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 spans="1:30" ht="24" x14ac:dyDescent="0.2">
      <c r="A796" s="8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 spans="1:30" ht="24" x14ac:dyDescent="0.2">
      <c r="A797" s="8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 spans="1:30" ht="24" x14ac:dyDescent="0.2">
      <c r="A798" s="8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 spans="1:30" ht="24" x14ac:dyDescent="0.2">
      <c r="A799" s="8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 spans="1:30" ht="24" x14ac:dyDescent="0.2">
      <c r="A800" s="8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 spans="1:30" ht="24" x14ac:dyDescent="0.2">
      <c r="A801" s="8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 spans="1:30" ht="24" x14ac:dyDescent="0.2">
      <c r="A802" s="8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 spans="1:30" ht="24" x14ac:dyDescent="0.2">
      <c r="A803" s="8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 spans="1:30" ht="24" x14ac:dyDescent="0.2">
      <c r="A804" s="8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 spans="1:30" ht="24" x14ac:dyDescent="0.2">
      <c r="A805" s="8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 spans="1:30" ht="24" x14ac:dyDescent="0.2">
      <c r="A806" s="8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 spans="1:30" ht="24" x14ac:dyDescent="0.2">
      <c r="A807" s="8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 spans="1:30" ht="24" x14ac:dyDescent="0.2">
      <c r="A808" s="8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 spans="1:30" ht="24" x14ac:dyDescent="0.2">
      <c r="A809" s="8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 spans="1:30" ht="24" x14ac:dyDescent="0.2">
      <c r="A810" s="8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 spans="1:30" ht="24" x14ac:dyDescent="0.2">
      <c r="A811" s="8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 spans="1:30" ht="24" x14ac:dyDescent="0.2">
      <c r="A812" s="8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 spans="1:30" ht="24" x14ac:dyDescent="0.2">
      <c r="A813" s="8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 spans="1:30" ht="24" x14ac:dyDescent="0.2">
      <c r="A814" s="8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 spans="1:30" ht="24" x14ac:dyDescent="0.2">
      <c r="A815" s="8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 spans="1:30" ht="24" x14ac:dyDescent="0.2">
      <c r="A816" s="8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 spans="1:30" ht="24" x14ac:dyDescent="0.2">
      <c r="A817" s="8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 spans="1:30" ht="24" x14ac:dyDescent="0.2">
      <c r="A818" s="8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 spans="1:30" ht="24" x14ac:dyDescent="0.2">
      <c r="A819" s="8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 spans="1:30" ht="24" x14ac:dyDescent="0.2">
      <c r="A820" s="8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 spans="1:30" ht="24" x14ac:dyDescent="0.2">
      <c r="A821" s="8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 spans="1:30" ht="24" x14ac:dyDescent="0.2">
      <c r="A822" s="8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 spans="1:30" ht="24" x14ac:dyDescent="0.2">
      <c r="A823" s="8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 spans="1:30" ht="24" x14ac:dyDescent="0.2">
      <c r="A824" s="8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 spans="1:30" ht="24" x14ac:dyDescent="0.2">
      <c r="A825" s="8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 spans="1:30" ht="24" x14ac:dyDescent="0.2">
      <c r="A826" s="8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 spans="1:30" ht="24" x14ac:dyDescent="0.2">
      <c r="A827" s="8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 spans="1:30" ht="24" x14ac:dyDescent="0.2">
      <c r="A828" s="8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 spans="1:30" ht="24" x14ac:dyDescent="0.2">
      <c r="A829" s="8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 spans="1:30" ht="24" x14ac:dyDescent="0.2">
      <c r="A830" s="8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 spans="1:30" ht="24" x14ac:dyDescent="0.2">
      <c r="A831" s="8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 spans="1:30" ht="24" x14ac:dyDescent="0.2">
      <c r="A832" s="8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 spans="1:30" ht="24" x14ac:dyDescent="0.2">
      <c r="A833" s="8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 spans="1:30" ht="24" x14ac:dyDescent="0.2">
      <c r="A834" s="8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 spans="1:30" ht="24" x14ac:dyDescent="0.2">
      <c r="A835" s="8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 spans="1:30" ht="24" x14ac:dyDescent="0.2">
      <c r="A836" s="8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 spans="1:30" ht="24" x14ac:dyDescent="0.2">
      <c r="A837" s="8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 spans="1:30" ht="24" x14ac:dyDescent="0.2">
      <c r="A838" s="8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 spans="1:30" ht="24" x14ac:dyDescent="0.2">
      <c r="A839" s="8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 spans="1:30" ht="24" x14ac:dyDescent="0.2">
      <c r="A840" s="8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 spans="1:30" ht="24" x14ac:dyDescent="0.2">
      <c r="A841" s="8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 spans="1:30" ht="24" x14ac:dyDescent="0.2">
      <c r="A842" s="8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 spans="1:30" ht="24" x14ac:dyDescent="0.2">
      <c r="A843" s="8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 spans="1:30" ht="24" x14ac:dyDescent="0.2">
      <c r="A844" s="8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 spans="1:30" ht="24" x14ac:dyDescent="0.2">
      <c r="A845" s="8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 spans="1:30" ht="24" x14ac:dyDescent="0.2">
      <c r="A846" s="8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 spans="1:30" ht="24" x14ac:dyDescent="0.2">
      <c r="A847" s="8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 spans="1:30" ht="24" x14ac:dyDescent="0.2">
      <c r="A848" s="8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 spans="1:30" ht="24" x14ac:dyDescent="0.2">
      <c r="A849" s="8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 spans="1:30" ht="24" x14ac:dyDescent="0.2">
      <c r="A850" s="8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 spans="1:30" ht="24" x14ac:dyDescent="0.2">
      <c r="A851" s="8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 spans="1:30" ht="24" x14ac:dyDescent="0.2">
      <c r="A852" s="8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 spans="1:30" ht="24" x14ac:dyDescent="0.2">
      <c r="A853" s="8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 spans="1:30" ht="24" x14ac:dyDescent="0.2">
      <c r="A854" s="8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 spans="1:30" ht="24" x14ac:dyDescent="0.2">
      <c r="A855" s="8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 spans="1:30" ht="24" x14ac:dyDescent="0.2">
      <c r="A856" s="8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 spans="1:30" ht="24" x14ac:dyDescent="0.2">
      <c r="A857" s="8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 spans="1:30" ht="24" x14ac:dyDescent="0.2">
      <c r="A858" s="8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 spans="1:30" ht="24" x14ac:dyDescent="0.2">
      <c r="A859" s="8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 spans="1:30" ht="24" x14ac:dyDescent="0.2">
      <c r="A860" s="8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 spans="1:30" ht="24" x14ac:dyDescent="0.2">
      <c r="A861" s="8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 spans="1:30" ht="24" x14ac:dyDescent="0.2">
      <c r="A862" s="8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 spans="1:30" ht="24" x14ac:dyDescent="0.2">
      <c r="A863" s="8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 spans="1:30" ht="24" x14ac:dyDescent="0.2">
      <c r="A864" s="8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 spans="1:30" ht="24" x14ac:dyDescent="0.2">
      <c r="A865" s="8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 spans="1:30" ht="24" x14ac:dyDescent="0.2">
      <c r="A866" s="8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 spans="1:30" ht="24" x14ac:dyDescent="0.2">
      <c r="A867" s="8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 spans="1:30" ht="24" x14ac:dyDescent="0.2">
      <c r="A868" s="8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 spans="1:30" ht="24" x14ac:dyDescent="0.2">
      <c r="A869" s="8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 spans="1:30" ht="24" x14ac:dyDescent="0.2">
      <c r="A870" s="8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 spans="1:30" ht="24" x14ac:dyDescent="0.2">
      <c r="A871" s="8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 spans="1:30" ht="24" x14ac:dyDescent="0.2">
      <c r="A872" s="8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 spans="1:30" ht="24" x14ac:dyDescent="0.2">
      <c r="A873" s="8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 spans="1:30" ht="24" x14ac:dyDescent="0.2">
      <c r="A874" s="8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 spans="1:30" ht="24" x14ac:dyDescent="0.2">
      <c r="A875" s="8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 spans="1:30" ht="24" x14ac:dyDescent="0.2">
      <c r="A876" s="8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 spans="1:30" ht="24" x14ac:dyDescent="0.2">
      <c r="A877" s="8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 spans="1:30" ht="24" x14ac:dyDescent="0.2">
      <c r="A878" s="8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 spans="1:30" ht="24" x14ac:dyDescent="0.2">
      <c r="A879" s="8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 spans="1:30" ht="24" x14ac:dyDescent="0.2">
      <c r="A880" s="8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 spans="1:30" ht="24" x14ac:dyDescent="0.2">
      <c r="A881" s="8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 spans="1:30" ht="24" x14ac:dyDescent="0.2">
      <c r="A882" s="8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 spans="1:30" ht="24" x14ac:dyDescent="0.2">
      <c r="A883" s="8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 spans="1:30" ht="24" x14ac:dyDescent="0.2">
      <c r="A884" s="8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 spans="1:30" ht="24" x14ac:dyDescent="0.2">
      <c r="A885" s="8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 spans="1:30" ht="24" x14ac:dyDescent="0.2">
      <c r="A886" s="8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 spans="1:30" ht="24" x14ac:dyDescent="0.2">
      <c r="A887" s="8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 spans="1:30" ht="24" x14ac:dyDescent="0.2">
      <c r="A888" s="8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 spans="1:30" ht="24" x14ac:dyDescent="0.2">
      <c r="A889" s="8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 spans="1:30" ht="24" x14ac:dyDescent="0.2">
      <c r="A890" s="8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 spans="1:30" ht="24" x14ac:dyDescent="0.2">
      <c r="A891" s="8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 spans="1:30" ht="24" x14ac:dyDescent="0.2">
      <c r="A892" s="8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 spans="1:30" ht="24" x14ac:dyDescent="0.2">
      <c r="A893" s="8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 spans="1:30" ht="24" x14ac:dyDescent="0.2">
      <c r="A894" s="8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 spans="1:30" ht="24" x14ac:dyDescent="0.2">
      <c r="A895" s="8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 spans="1:30" ht="24" x14ac:dyDescent="0.2">
      <c r="A896" s="8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 spans="1:30" ht="24" x14ac:dyDescent="0.2">
      <c r="A897" s="8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 spans="1:30" ht="24" x14ac:dyDescent="0.2">
      <c r="A898" s="8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 spans="1:30" ht="24" x14ac:dyDescent="0.2">
      <c r="A899" s="8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 spans="1:30" ht="24" x14ac:dyDescent="0.2">
      <c r="A900" s="8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 spans="1:30" ht="24" x14ac:dyDescent="0.2">
      <c r="A901" s="8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 spans="1:30" ht="24" x14ac:dyDescent="0.2">
      <c r="A902" s="8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 spans="1:30" ht="24" x14ac:dyDescent="0.2">
      <c r="A903" s="8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 spans="1:30" ht="24" x14ac:dyDescent="0.2">
      <c r="A904" s="8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 spans="1:30" ht="24" x14ac:dyDescent="0.2">
      <c r="A905" s="8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 spans="1:30" ht="24" x14ac:dyDescent="0.2">
      <c r="A906" s="8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 spans="1:30" ht="24" x14ac:dyDescent="0.2">
      <c r="A907" s="8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 spans="1:30" ht="24" x14ac:dyDescent="0.2">
      <c r="A908" s="8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 spans="1:30" ht="24" x14ac:dyDescent="0.2">
      <c r="A909" s="8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 spans="1:30" ht="24" x14ac:dyDescent="0.2">
      <c r="A910" s="8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 spans="1:30" ht="24" x14ac:dyDescent="0.2">
      <c r="A911" s="8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 spans="1:30" ht="24" x14ac:dyDescent="0.2">
      <c r="A912" s="8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 spans="1:30" ht="24" x14ac:dyDescent="0.2">
      <c r="A913" s="8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 spans="1:30" ht="24" x14ac:dyDescent="0.2">
      <c r="A914" s="8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 spans="1:30" ht="24" x14ac:dyDescent="0.2">
      <c r="A915" s="8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 spans="1:30" ht="24" x14ac:dyDescent="0.2">
      <c r="A916" s="8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 spans="1:30" ht="24" x14ac:dyDescent="0.2">
      <c r="A917" s="8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 spans="1:30" ht="24" x14ac:dyDescent="0.2">
      <c r="A918" s="8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 spans="1:30" ht="24" x14ac:dyDescent="0.2">
      <c r="A919" s="8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 spans="1:30" ht="24" x14ac:dyDescent="0.2">
      <c r="A920" s="8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 spans="1:30" ht="24" x14ac:dyDescent="0.2">
      <c r="A921" s="8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 spans="1:30" ht="24" x14ac:dyDescent="0.2">
      <c r="A922" s="8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 spans="1:30" ht="24" x14ac:dyDescent="0.2">
      <c r="A923" s="8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 spans="1:30" ht="24" x14ac:dyDescent="0.2">
      <c r="A924" s="8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 spans="1:30" ht="24" x14ac:dyDescent="0.2">
      <c r="A925" s="8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 spans="1:30" ht="24" x14ac:dyDescent="0.2">
      <c r="A926" s="8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 spans="1:30" ht="24" x14ac:dyDescent="0.2">
      <c r="A927" s="8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 spans="1:30" ht="24" x14ac:dyDescent="0.2">
      <c r="A928" s="8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 spans="1:30" ht="24" x14ac:dyDescent="0.2">
      <c r="A929" s="8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 spans="1:30" ht="24" x14ac:dyDescent="0.2">
      <c r="A930" s="8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 spans="1:30" ht="24" x14ac:dyDescent="0.2">
      <c r="A931" s="8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 spans="1:30" ht="24" x14ac:dyDescent="0.2">
      <c r="A932" s="8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 spans="1:30" ht="24" x14ac:dyDescent="0.2">
      <c r="A933" s="8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 spans="1:30" ht="24" x14ac:dyDescent="0.2">
      <c r="A934" s="8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 spans="1:30" ht="24" x14ac:dyDescent="0.2">
      <c r="A935" s="8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 spans="1:30" ht="24" x14ac:dyDescent="0.2">
      <c r="A936" s="8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 spans="1:30" ht="24" x14ac:dyDescent="0.2">
      <c r="A937" s="8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 spans="1:30" ht="24" x14ac:dyDescent="0.2">
      <c r="A938" s="8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 spans="1:30" ht="24" x14ac:dyDescent="0.2">
      <c r="A939" s="8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 spans="1:30" ht="24" x14ac:dyDescent="0.2">
      <c r="A940" s="8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 spans="1:30" ht="24" x14ac:dyDescent="0.2">
      <c r="A941" s="8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 spans="1:30" ht="24" x14ac:dyDescent="0.2">
      <c r="A942" s="8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 spans="1:30" ht="24" x14ac:dyDescent="0.2">
      <c r="A943" s="8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 spans="1:30" ht="24" x14ac:dyDescent="0.2">
      <c r="A944" s="8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 spans="1:30" ht="24" x14ac:dyDescent="0.2">
      <c r="A945" s="8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 spans="1:30" ht="24" x14ac:dyDescent="0.2">
      <c r="A946" s="8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 spans="1:30" ht="24" x14ac:dyDescent="0.2">
      <c r="A947" s="8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 spans="1:30" ht="24" x14ac:dyDescent="0.2">
      <c r="A948" s="8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 spans="1:30" ht="24" x14ac:dyDescent="0.2">
      <c r="A949" s="8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 spans="1:30" ht="24" x14ac:dyDescent="0.2">
      <c r="A950" s="8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 spans="1:30" ht="24" x14ac:dyDescent="0.2">
      <c r="A951" s="8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 spans="1:30" ht="24" x14ac:dyDescent="0.2">
      <c r="A952" s="8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 spans="1:30" ht="24" x14ac:dyDescent="0.2">
      <c r="A953" s="8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 spans="1:30" ht="24" x14ac:dyDescent="0.2">
      <c r="A954" s="8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 spans="1:30" ht="24" x14ac:dyDescent="0.2">
      <c r="A955" s="8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 spans="1:30" ht="24" x14ac:dyDescent="0.2">
      <c r="A956" s="8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 spans="1:30" ht="24" x14ac:dyDescent="0.2">
      <c r="A957" s="8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 spans="1:30" ht="24" x14ac:dyDescent="0.2">
      <c r="A958" s="8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 spans="1:30" ht="24" x14ac:dyDescent="0.2">
      <c r="A959" s="8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 spans="1:30" ht="24" x14ac:dyDescent="0.2">
      <c r="A960" s="8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 spans="1:30" ht="24" x14ac:dyDescent="0.2">
      <c r="A961" s="8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 spans="1:30" ht="24" x14ac:dyDescent="0.2">
      <c r="A962" s="8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 spans="1:30" ht="24" x14ac:dyDescent="0.2">
      <c r="A963" s="8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 spans="1:30" ht="24" x14ac:dyDescent="0.2">
      <c r="A964" s="8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 spans="1:30" ht="24" x14ac:dyDescent="0.2">
      <c r="A965" s="8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 spans="1:30" ht="24" x14ac:dyDescent="0.2">
      <c r="A966" s="8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 spans="1:30" ht="24" x14ac:dyDescent="0.2">
      <c r="A967" s="8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 spans="1:30" ht="24" x14ac:dyDescent="0.2">
      <c r="A968" s="8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 spans="1:30" ht="24" x14ac:dyDescent="0.2">
      <c r="A969" s="8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 spans="1:30" ht="24" x14ac:dyDescent="0.2">
      <c r="A970" s="8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 spans="1:30" ht="24" x14ac:dyDescent="0.2">
      <c r="A971" s="8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 spans="1:30" ht="24" x14ac:dyDescent="0.2">
      <c r="A972" s="8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 spans="1:30" ht="24" x14ac:dyDescent="0.2">
      <c r="A973" s="8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 spans="1:30" ht="24" x14ac:dyDescent="0.2">
      <c r="A974" s="8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 spans="1:30" ht="24" x14ac:dyDescent="0.2">
      <c r="A975" s="8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 spans="1:30" ht="24" x14ac:dyDescent="0.2">
      <c r="A976" s="8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 spans="1:30" ht="24" x14ac:dyDescent="0.2">
      <c r="A977" s="8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 spans="1:30" ht="24" x14ac:dyDescent="0.2">
      <c r="A978" s="8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 spans="1:30" ht="24" x14ac:dyDescent="0.2">
      <c r="A979" s="8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 spans="1:30" ht="24" x14ac:dyDescent="0.2">
      <c r="A980" s="8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 spans="1:30" ht="24" x14ac:dyDescent="0.2">
      <c r="A981" s="8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 spans="1:30" ht="24" x14ac:dyDescent="0.2">
      <c r="A982" s="8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 spans="1:30" ht="24" x14ac:dyDescent="0.2">
      <c r="A983" s="8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 spans="1:30" ht="24" x14ac:dyDescent="0.2">
      <c r="A984" s="8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 spans="1:30" ht="24" x14ac:dyDescent="0.2">
      <c r="A985" s="8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 spans="1:30" ht="24" x14ac:dyDescent="0.2">
      <c r="A986" s="8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 spans="1:30" ht="24" x14ac:dyDescent="0.2">
      <c r="A987" s="8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 spans="1:30" ht="24" x14ac:dyDescent="0.2">
      <c r="A988" s="8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 spans="1:30" ht="24" x14ac:dyDescent="0.2">
      <c r="A989" s="8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 spans="1:30" ht="24" x14ac:dyDescent="0.2">
      <c r="A990" s="8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 spans="1:30" ht="24" x14ac:dyDescent="0.2">
      <c r="A991" s="8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 spans="1:30" ht="24" x14ac:dyDescent="0.2">
      <c r="A992" s="8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 spans="1:30" ht="24" x14ac:dyDescent="0.2">
      <c r="A993" s="8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 spans="1:30" ht="24" x14ac:dyDescent="0.2">
      <c r="A994" s="8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 spans="1:30" ht="24" x14ac:dyDescent="0.2">
      <c r="A995" s="8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 spans="1:30" ht="24" x14ac:dyDescent="0.2">
      <c r="A996" s="8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 spans="1:30" ht="24" x14ac:dyDescent="0.2">
      <c r="A997" s="8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 spans="1:30" ht="24" x14ac:dyDescent="0.2">
      <c r="A998" s="8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 spans="1:30" ht="24" x14ac:dyDescent="0.2">
      <c r="A999" s="8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 spans="1:30" ht="24" x14ac:dyDescent="0.2">
      <c r="A1000" s="8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 spans="1:30" ht="24" x14ac:dyDescent="0.2">
      <c r="A1001" s="8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</row>
    <row r="1002" spans="1:30" ht="24" x14ac:dyDescent="0.2">
      <c r="A1002" s="8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</row>
    <row r="1003" spans="1:30" ht="24" x14ac:dyDescent="0.2">
      <c r="A1003" s="8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</row>
    <row r="1004" spans="1:30" ht="24" x14ac:dyDescent="0.2">
      <c r="A1004" s="8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</row>
    <row r="1005" spans="1:30" ht="24" x14ac:dyDescent="0.2">
      <c r="A1005" s="8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</row>
    <row r="1006" spans="1:30" ht="24" x14ac:dyDescent="0.2">
      <c r="A1006" s="8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</row>
    <row r="1007" spans="1:30" ht="24" x14ac:dyDescent="0.2">
      <c r="A1007" s="8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</row>
    <row r="1008" spans="1:30" ht="24" x14ac:dyDescent="0.2">
      <c r="A1008" s="8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</row>
    <row r="1009" spans="1:30" ht="24" x14ac:dyDescent="0.2">
      <c r="A1009" s="8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</row>
    <row r="1010" spans="1:30" ht="24" x14ac:dyDescent="0.2">
      <c r="A1010" s="8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</row>
    <row r="1011" spans="1:30" ht="24" x14ac:dyDescent="0.2">
      <c r="A1011" s="8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</row>
    <row r="1012" spans="1:30" ht="24" x14ac:dyDescent="0.2">
      <c r="A1012" s="8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</row>
    <row r="1013" spans="1:30" ht="24" x14ac:dyDescent="0.2">
      <c r="A1013" s="8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  <c r="AD1013" s="9"/>
    </row>
    <row r="1014" spans="1:30" ht="24" x14ac:dyDescent="0.2">
      <c r="A1014" s="8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  <c r="AD1014" s="9"/>
    </row>
  </sheetData>
  <mergeCells count="22">
    <mergeCell ref="K31:L31"/>
    <mergeCell ref="B33:B45"/>
    <mergeCell ref="G24:J24"/>
    <mergeCell ref="C26:J26"/>
    <mergeCell ref="C27:E27"/>
    <mergeCell ref="C28:E28"/>
    <mergeCell ref="G29:J29"/>
    <mergeCell ref="C31:C32"/>
    <mergeCell ref="D31:G31"/>
    <mergeCell ref="H31:J31"/>
    <mergeCell ref="C21:E21"/>
    <mergeCell ref="G21:J21"/>
    <mergeCell ref="C22:E22"/>
    <mergeCell ref="G22:J22"/>
    <mergeCell ref="C23:E23"/>
    <mergeCell ref="G23:J23"/>
    <mergeCell ref="C3:J3"/>
    <mergeCell ref="C5:E5"/>
    <mergeCell ref="C17:J17"/>
    <mergeCell ref="C18:E18"/>
    <mergeCell ref="G18:J18"/>
    <mergeCell ref="C20:J20"/>
  </mergeCells>
  <conditionalFormatting sqref="D33:G45">
    <cfRule type="colorScale" priority="1">
      <colorScale>
        <cfvo type="min"/>
        <cfvo type="max"/>
        <color rgb="FFF4CCCC"/>
        <color rgb="FFD9EAD3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2C63-DBF8-8244-80A6-FDB698433B4D}">
  <dimension ref="A1:AD1016"/>
  <sheetViews>
    <sheetView tabSelected="1" workbookViewId="0">
      <selection activeCell="F16" sqref="F16"/>
    </sheetView>
  </sheetViews>
  <sheetFormatPr baseColWidth="10" defaultColWidth="12.6640625" defaultRowHeight="16" x14ac:dyDescent="0.2"/>
  <cols>
    <col min="1" max="2" width="3" customWidth="1"/>
    <col min="3" max="12" width="24.6640625" customWidth="1"/>
  </cols>
  <sheetData>
    <row r="1" spans="1:30" ht="24" x14ac:dyDescent="0.2">
      <c r="A1" s="8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 spans="1:30" ht="24" x14ac:dyDescent="0.2">
      <c r="A2" s="8"/>
      <c r="B2" s="9"/>
      <c r="C2" s="10" t="s">
        <v>77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spans="1:30" ht="20.25" customHeight="1" x14ac:dyDescent="0.2">
      <c r="A3" s="8"/>
      <c r="B3" s="9"/>
      <c r="C3" s="11"/>
      <c r="D3" s="12"/>
      <c r="E3" s="12"/>
      <c r="F3" s="12"/>
      <c r="G3" s="12"/>
      <c r="H3" s="12"/>
      <c r="I3" s="12"/>
      <c r="J3" s="13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</row>
    <row r="4" spans="1:30" ht="25" thickBot="1" x14ac:dyDescent="0.25">
      <c r="A4" s="8"/>
      <c r="B4" s="9"/>
      <c r="C4" s="14"/>
      <c r="D4" s="14"/>
      <c r="E4" s="14"/>
      <c r="F4" s="14"/>
      <c r="G4" s="9"/>
      <c r="H4" s="14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</row>
    <row r="5" spans="1:30" ht="25" thickTop="1" x14ac:dyDescent="0.3">
      <c r="A5" s="8"/>
      <c r="B5" s="15"/>
      <c r="C5" s="16" t="s">
        <v>36</v>
      </c>
      <c r="D5" s="17"/>
      <c r="E5" s="17"/>
      <c r="F5" s="18" t="s">
        <v>37</v>
      </c>
      <c r="G5" s="19"/>
      <c r="H5" s="20" t="s">
        <v>38</v>
      </c>
      <c r="I5" s="21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</row>
    <row r="6" spans="1:30" ht="24" x14ac:dyDescent="0.25">
      <c r="A6" s="8"/>
      <c r="B6" s="15"/>
      <c r="C6" s="22" t="s">
        <v>39</v>
      </c>
      <c r="D6" s="23"/>
      <c r="E6" s="23"/>
      <c r="F6" s="24">
        <v>8000000</v>
      </c>
      <c r="G6" s="25"/>
      <c r="H6" s="26" t="s">
        <v>40</v>
      </c>
      <c r="I6" s="27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</row>
    <row r="7" spans="1:30" ht="24" x14ac:dyDescent="0.25">
      <c r="A7" s="8"/>
      <c r="B7" s="15"/>
      <c r="C7" s="22" t="s">
        <v>41</v>
      </c>
      <c r="D7" s="28"/>
      <c r="E7" s="28"/>
      <c r="F7" s="29">
        <v>1.3588</v>
      </c>
      <c r="G7" s="30"/>
      <c r="H7" s="31" t="s">
        <v>42</v>
      </c>
      <c r="I7" s="21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</row>
    <row r="8" spans="1:30" ht="25" thickBot="1" x14ac:dyDescent="0.25">
      <c r="A8" s="8"/>
      <c r="B8" s="15"/>
      <c r="C8" s="32" t="s">
        <v>43</v>
      </c>
      <c r="D8" s="33"/>
      <c r="E8" s="33"/>
      <c r="F8" s="34"/>
      <c r="G8" s="21"/>
      <c r="H8" s="35" t="s">
        <v>44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</row>
    <row r="9" spans="1:30" ht="24" x14ac:dyDescent="0.2">
      <c r="A9" s="8"/>
      <c r="B9" s="15"/>
      <c r="C9" s="22" t="s">
        <v>45</v>
      </c>
      <c r="D9" s="33"/>
      <c r="E9" s="33"/>
      <c r="F9" s="36">
        <v>3.6999999999999998E-2</v>
      </c>
      <c r="G9" s="21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 spans="1:30" ht="24" x14ac:dyDescent="0.2">
      <c r="A10" s="8"/>
      <c r="B10" s="15"/>
      <c r="C10" s="22" t="s">
        <v>46</v>
      </c>
      <c r="D10" s="33"/>
      <c r="E10" s="33"/>
      <c r="F10" s="36">
        <v>4.2299999999999997E-2</v>
      </c>
      <c r="G10" s="21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 spans="1:30" ht="24" x14ac:dyDescent="0.2">
      <c r="A11" s="8"/>
      <c r="B11" s="15"/>
      <c r="C11" s="32" t="s">
        <v>48</v>
      </c>
      <c r="D11" s="28"/>
      <c r="E11" s="28"/>
      <c r="F11" s="38"/>
      <c r="G11" s="21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 spans="1:30" ht="24" x14ac:dyDescent="0.2">
      <c r="A12" s="8"/>
      <c r="B12" s="15"/>
      <c r="C12" s="22" t="s">
        <v>49</v>
      </c>
      <c r="D12" s="28"/>
      <c r="E12" s="28"/>
      <c r="F12" s="29">
        <v>1.34015</v>
      </c>
      <c r="G12" s="21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</row>
    <row r="13" spans="1:30" ht="24" x14ac:dyDescent="0.2">
      <c r="A13" s="8"/>
      <c r="B13" s="15"/>
      <c r="C13" s="32" t="s">
        <v>50</v>
      </c>
      <c r="D13" s="9"/>
      <c r="E13" s="9"/>
      <c r="F13" s="39"/>
      <c r="G13" s="21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</row>
    <row r="14" spans="1:30" ht="24" x14ac:dyDescent="0.3">
      <c r="A14" s="8"/>
      <c r="B14" s="15"/>
      <c r="C14" s="40" t="s">
        <v>78</v>
      </c>
      <c r="D14" s="41"/>
      <c r="E14" s="41"/>
      <c r="F14" s="42">
        <v>1.55E-2</v>
      </c>
      <c r="G14" s="21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</row>
    <row r="15" spans="1:30" ht="25" thickBot="1" x14ac:dyDescent="0.35">
      <c r="A15" s="8"/>
      <c r="B15" s="15"/>
      <c r="C15" s="43" t="s">
        <v>79</v>
      </c>
      <c r="D15" s="44"/>
      <c r="E15" s="44"/>
      <c r="F15" s="45">
        <v>1.2999999999999999E-2</v>
      </c>
      <c r="G15" s="21"/>
      <c r="H15" s="46"/>
      <c r="I15" s="9"/>
      <c r="J15" s="46"/>
      <c r="K15" s="46"/>
      <c r="L15" s="46"/>
      <c r="M15" s="46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</row>
    <row r="16" spans="1:30" ht="25" thickTop="1" x14ac:dyDescent="0.3">
      <c r="A16" s="8"/>
      <c r="B16" s="9"/>
      <c r="C16" s="47"/>
      <c r="D16" s="47"/>
      <c r="E16" s="47"/>
      <c r="F16" s="47"/>
      <c r="G16" s="48"/>
      <c r="H16" s="48"/>
      <c r="I16" s="14"/>
      <c r="J16" s="49"/>
      <c r="K16" s="46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</row>
    <row r="17" spans="1:30" ht="24" x14ac:dyDescent="0.3">
      <c r="A17" s="8"/>
      <c r="B17" s="15"/>
      <c r="C17" s="50" t="s">
        <v>53</v>
      </c>
      <c r="D17" s="51"/>
      <c r="E17" s="51"/>
      <c r="F17" s="51"/>
      <c r="G17" s="51"/>
      <c r="H17" s="51"/>
      <c r="I17" s="51"/>
      <c r="J17" s="52"/>
      <c r="K17" s="21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</row>
    <row r="18" spans="1:30" ht="24" x14ac:dyDescent="0.2">
      <c r="A18" s="8"/>
      <c r="B18" s="15"/>
      <c r="C18" s="53" t="s">
        <v>80</v>
      </c>
      <c r="D18" s="54"/>
      <c r="E18" s="55"/>
      <c r="F18" s="56">
        <f>contract_notional_value_payable*forward_price_payable</f>
        <v>10721200</v>
      </c>
      <c r="G18" s="57" t="s">
        <v>55</v>
      </c>
      <c r="H18" s="54"/>
      <c r="I18" s="54"/>
      <c r="J18" s="58"/>
      <c r="K18" s="21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</row>
    <row r="19" spans="1:30" ht="24" x14ac:dyDescent="0.2">
      <c r="A19" s="8"/>
      <c r="B19" s="9"/>
      <c r="C19" s="47"/>
      <c r="D19" s="47"/>
      <c r="E19" s="47"/>
      <c r="F19" s="47"/>
      <c r="G19" s="59"/>
      <c r="H19" s="47"/>
      <c r="I19" s="47"/>
      <c r="J19" s="47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 spans="1:30" ht="24" x14ac:dyDescent="0.2">
      <c r="A20" s="8"/>
      <c r="B20" s="15"/>
      <c r="C20" s="60" t="s">
        <v>56</v>
      </c>
      <c r="D20" s="51"/>
      <c r="E20" s="51"/>
      <c r="F20" s="51"/>
      <c r="G20" s="51"/>
      <c r="H20" s="51"/>
      <c r="I20" s="51"/>
      <c r="J20" s="52"/>
      <c r="K20" s="21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 spans="1:30" ht="24" x14ac:dyDescent="0.2">
      <c r="A21" s="8"/>
      <c r="B21" s="15"/>
      <c r="C21" s="61" t="s">
        <v>81</v>
      </c>
      <c r="D21" s="12"/>
      <c r="E21" s="13"/>
      <c r="F21" s="62">
        <f>contract_notional_value_payable/(1+rate_uk_1y_payable)</f>
        <v>7675333.397294445</v>
      </c>
      <c r="G21" s="11"/>
      <c r="H21" s="12"/>
      <c r="I21" s="12"/>
      <c r="J21" s="63"/>
      <c r="K21" s="21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 spans="1:30" ht="24" x14ac:dyDescent="0.2">
      <c r="A22" s="8"/>
      <c r="B22" s="15"/>
      <c r="C22" s="61" t="s">
        <v>82</v>
      </c>
      <c r="D22" s="12"/>
      <c r="E22" s="13"/>
      <c r="F22" s="64">
        <f>F21*current_spot_price_payable</f>
        <v>10429243.020243691</v>
      </c>
      <c r="G22" s="11"/>
      <c r="H22" s="12"/>
      <c r="I22" s="12"/>
      <c r="J22" s="63"/>
      <c r="K22" s="21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 spans="1:30" ht="24" x14ac:dyDescent="0.2">
      <c r="A23" s="8"/>
      <c r="B23" s="15"/>
      <c r="C23" s="61" t="s">
        <v>83</v>
      </c>
      <c r="D23" s="12"/>
      <c r="E23" s="13"/>
      <c r="F23" s="62">
        <f>F22/current_spot_price_payable</f>
        <v>7675333.397294445</v>
      </c>
      <c r="G23" s="67"/>
      <c r="H23" s="67"/>
      <c r="I23" s="67"/>
      <c r="J23" s="67"/>
      <c r="K23" s="21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 spans="1:30" ht="24" x14ac:dyDescent="0.2">
      <c r="A24" s="8"/>
      <c r="B24" s="15"/>
      <c r="C24" s="61" t="s">
        <v>84</v>
      </c>
      <c r="D24" s="12"/>
      <c r="E24" s="13"/>
      <c r="F24" s="62">
        <f>F23*(1+rate_uk_1y_payable)</f>
        <v>8000000</v>
      </c>
      <c r="G24" s="67"/>
      <c r="H24" s="67"/>
      <c r="I24" s="67"/>
      <c r="J24" s="67"/>
      <c r="K24" s="21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 spans="1:30" ht="24" x14ac:dyDescent="0.2">
      <c r="A25" s="8"/>
      <c r="B25" s="15"/>
      <c r="C25" s="61" t="s">
        <v>85</v>
      </c>
      <c r="D25" s="12"/>
      <c r="E25" s="13"/>
      <c r="F25" s="64">
        <f>F22*(1+rate_us_1y_payable)</f>
        <v>10815125.011992708</v>
      </c>
      <c r="G25" s="11"/>
      <c r="H25" s="12"/>
      <c r="I25" s="12"/>
      <c r="J25" s="63"/>
      <c r="K25" s="21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 spans="1:30" ht="24" x14ac:dyDescent="0.2">
      <c r="A26" s="8"/>
      <c r="B26" s="15"/>
      <c r="C26" s="65"/>
      <c r="D26" s="66"/>
      <c r="E26" s="66"/>
      <c r="F26" s="56">
        <f>F25</f>
        <v>10815125.011992708</v>
      </c>
      <c r="G26" s="57" t="s">
        <v>55</v>
      </c>
      <c r="H26" s="54"/>
      <c r="I26" s="54"/>
      <c r="J26" s="58"/>
      <c r="K26" s="21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 spans="1:30" ht="24" x14ac:dyDescent="0.2">
      <c r="A27" s="8"/>
      <c r="B27" s="9"/>
      <c r="C27" s="47"/>
      <c r="D27" s="47"/>
      <c r="E27" s="47"/>
      <c r="F27" s="47"/>
      <c r="G27" s="59"/>
      <c r="H27" s="47"/>
      <c r="I27" s="47"/>
      <c r="J27" s="47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 spans="1:30" ht="24" x14ac:dyDescent="0.2">
      <c r="A28" s="8"/>
      <c r="B28" s="15"/>
      <c r="C28" s="60" t="s">
        <v>60</v>
      </c>
      <c r="D28" s="51"/>
      <c r="E28" s="51"/>
      <c r="F28" s="51"/>
      <c r="G28" s="51"/>
      <c r="H28" s="51"/>
      <c r="I28" s="51"/>
      <c r="J28" s="52"/>
      <c r="K28" s="21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 spans="1:30" ht="24" x14ac:dyDescent="0.3">
      <c r="A29" s="8"/>
      <c r="B29" s="15"/>
      <c r="C29" s="61" t="s">
        <v>86</v>
      </c>
      <c r="D29" s="12"/>
      <c r="E29" s="13"/>
      <c r="F29" s="64">
        <f>-call_price*contract_notional_value_payable</f>
        <v>-104000</v>
      </c>
      <c r="G29" s="46"/>
      <c r="H29" s="9"/>
      <c r="I29" s="9"/>
      <c r="J29" s="67"/>
      <c r="K29" s="21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</row>
    <row r="30" spans="1:30" ht="24" x14ac:dyDescent="0.3">
      <c r="A30" s="8"/>
      <c r="B30" s="15"/>
      <c r="C30" s="61" t="s">
        <v>62</v>
      </c>
      <c r="D30" s="12"/>
      <c r="E30" s="13"/>
      <c r="F30" s="64">
        <f>F29*(1+rate_us_1y_payable)</f>
        <v>-107847.99999999999</v>
      </c>
      <c r="G30" s="46"/>
      <c r="H30" s="9"/>
      <c r="I30" s="9"/>
      <c r="J30" s="67"/>
      <c r="K30" s="21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</row>
    <row r="31" spans="1:30" ht="24" x14ac:dyDescent="0.2">
      <c r="A31" s="8"/>
      <c r="B31" s="15"/>
      <c r="C31" s="65"/>
      <c r="D31" s="68"/>
      <c r="E31" s="68"/>
      <c r="F31" s="69">
        <f>MAX(G35:G47)</f>
        <v>231848.00000000186</v>
      </c>
      <c r="G31" s="57" t="s">
        <v>87</v>
      </c>
      <c r="H31" s="54"/>
      <c r="I31" s="54"/>
      <c r="J31" s="58"/>
      <c r="K31" s="21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</row>
    <row r="32" spans="1:30" ht="24" x14ac:dyDescent="0.2">
      <c r="A32" s="8"/>
      <c r="B32" s="9"/>
      <c r="C32" s="70"/>
      <c r="D32" s="70"/>
      <c r="E32" s="70"/>
      <c r="F32" s="70"/>
      <c r="G32" s="120"/>
      <c r="H32" s="70"/>
      <c r="I32" s="70"/>
      <c r="J32" s="70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</row>
    <row r="33" spans="1:30" ht="24" x14ac:dyDescent="0.2">
      <c r="A33" s="8"/>
      <c r="B33" s="15"/>
      <c r="C33" s="71" t="s">
        <v>64</v>
      </c>
      <c r="D33" s="72" t="s">
        <v>88</v>
      </c>
      <c r="E33" s="73"/>
      <c r="F33" s="73"/>
      <c r="G33" s="74"/>
      <c r="H33" s="75" t="s">
        <v>66</v>
      </c>
      <c r="I33" s="73"/>
      <c r="J33" s="74"/>
      <c r="K33" s="72" t="s">
        <v>67</v>
      </c>
      <c r="L33" s="74"/>
      <c r="M33" s="21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</row>
    <row r="34" spans="1:30" ht="25" thickBot="1" x14ac:dyDescent="0.25">
      <c r="A34" s="8"/>
      <c r="B34" s="15"/>
      <c r="C34" s="76"/>
      <c r="D34" s="77" t="s">
        <v>68</v>
      </c>
      <c r="E34" s="78" t="s">
        <v>53</v>
      </c>
      <c r="F34" s="79" t="s">
        <v>56</v>
      </c>
      <c r="G34" s="80" t="s">
        <v>60</v>
      </c>
      <c r="H34" s="81" t="s">
        <v>69</v>
      </c>
      <c r="I34" s="82" t="s">
        <v>56</v>
      </c>
      <c r="J34" s="83" t="s">
        <v>60</v>
      </c>
      <c r="K34" s="77" t="s">
        <v>70</v>
      </c>
      <c r="L34" s="84" t="s">
        <v>71</v>
      </c>
      <c r="M34" s="21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</row>
    <row r="35" spans="1:30" ht="24" x14ac:dyDescent="0.3">
      <c r="A35" s="85"/>
      <c r="B35" s="86" t="s">
        <v>72</v>
      </c>
      <c r="C35" s="87">
        <f t="shared" ref="C35:C40" si="0">C36-0.05</f>
        <v>1.0587999999999997</v>
      </c>
      <c r="D35" s="121">
        <f t="shared" ref="D35:D47" si="1">future_spot_price_payable*contract_notional_value_payable</f>
        <v>8470399.9999999981</v>
      </c>
      <c r="E35" s="122">
        <f t="shared" ref="E35:E47" si="2">$D35+(forward_price_payable-future_spot_price_payable)*contract_notional_value_payable</f>
        <v>10721200</v>
      </c>
      <c r="F35" s="123">
        <f t="shared" ref="F35:F47" si="3">$F$26</f>
        <v>10815125.011992708</v>
      </c>
      <c r="G35" s="124">
        <f t="shared" ref="G35:G47" si="4">$D35-J35</f>
        <v>231848.00000000093</v>
      </c>
      <c r="H35" s="125">
        <f t="shared" ref="H35:H47" si="5">(forward_price_payable-future_spot_price_payable)*contract_notional_value_payable</f>
        <v>2250800.0000000019</v>
      </c>
      <c r="I35" s="126">
        <f t="shared" ref="I35:I47" si="6">$F$26-D35</f>
        <v>2344725.0119927097</v>
      </c>
      <c r="J35" s="127">
        <f t="shared" ref="J35:J47" si="7">F$30+MAX(0,(future_spot_price_payable-call_strike)*contract_notional_value_payable)</f>
        <v>8238551.9999999972</v>
      </c>
      <c r="K35" s="128" t="str">
        <f>IF(E35= MIN(D35,E35,F35,G35),$E$34,IF(F35= MIN(D35,E35,F35,G35),$F$34,IF(G35= MIN(D35,E35,F35,G35),$G$34,$D$34)))</f>
        <v>3. Option Hedge</v>
      </c>
      <c r="L35" s="129" t="str">
        <f>IF(E35= MIN(E35,F35,G35),$E$34,IF(F35= MIN(E35,F35,G35),$F$34,$G$34))</f>
        <v>3. Option Hedge</v>
      </c>
      <c r="M35" s="21" t="s">
        <v>89</v>
      </c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</row>
    <row r="36" spans="1:30" ht="24" x14ac:dyDescent="0.3">
      <c r="A36" s="85"/>
      <c r="B36" s="97"/>
      <c r="C36" s="98">
        <f t="shared" si="0"/>
        <v>1.1087999999999998</v>
      </c>
      <c r="D36" s="130">
        <f t="shared" si="1"/>
        <v>8870399.9999999981</v>
      </c>
      <c r="E36" s="64">
        <f t="shared" si="2"/>
        <v>10721200</v>
      </c>
      <c r="F36" s="131">
        <f t="shared" si="3"/>
        <v>10815125.011992708</v>
      </c>
      <c r="G36" s="132">
        <f t="shared" si="4"/>
        <v>231848</v>
      </c>
      <c r="H36" s="133">
        <f t="shared" si="5"/>
        <v>1850800.0000000014</v>
      </c>
      <c r="I36" s="134">
        <f t="shared" si="6"/>
        <v>1944725.0119927097</v>
      </c>
      <c r="J36" s="135">
        <f t="shared" si="7"/>
        <v>8638551.9999999981</v>
      </c>
      <c r="K36" s="136" t="str">
        <f t="shared" ref="K36:K47" si="8">IF(E36= MIN(D36,E36,F36,G36),$E$34,IF(F36= MIN(D36,E36,F36,G36),$F$34,IF(G36= MIN(D36,E36,F36,G36),$G$34,$D$34)))</f>
        <v>3. Option Hedge</v>
      </c>
      <c r="L36" s="108" t="str">
        <f t="shared" ref="L36:L47" si="9">IF(E36= MIN(E36,F36,G36),$E$34,IF(F36= MIN(E36,F36,G36),$F$34,$G$34))</f>
        <v>3. Option Hedge</v>
      </c>
      <c r="M36" s="21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</row>
    <row r="37" spans="1:30" ht="24" x14ac:dyDescent="0.3">
      <c r="A37" s="85"/>
      <c r="B37" s="97"/>
      <c r="C37" s="98">
        <f t="shared" si="0"/>
        <v>1.1587999999999998</v>
      </c>
      <c r="D37" s="130">
        <f t="shared" si="1"/>
        <v>9270399.9999999981</v>
      </c>
      <c r="E37" s="64">
        <f t="shared" si="2"/>
        <v>10721200</v>
      </c>
      <c r="F37" s="131">
        <f t="shared" si="3"/>
        <v>10815125.011992708</v>
      </c>
      <c r="G37" s="132">
        <f t="shared" si="4"/>
        <v>231848</v>
      </c>
      <c r="H37" s="133">
        <f t="shared" si="5"/>
        <v>1450800.0000000009</v>
      </c>
      <c r="I37" s="134">
        <f t="shared" si="6"/>
        <v>1544725.0119927097</v>
      </c>
      <c r="J37" s="135">
        <f t="shared" si="7"/>
        <v>9038551.9999999981</v>
      </c>
      <c r="K37" s="136" t="str">
        <f t="shared" si="8"/>
        <v>3. Option Hedge</v>
      </c>
      <c r="L37" s="108" t="str">
        <f t="shared" si="9"/>
        <v>3. Option Hedge</v>
      </c>
      <c r="M37" s="21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</row>
    <row r="38" spans="1:30" ht="24" x14ac:dyDescent="0.3">
      <c r="A38" s="85"/>
      <c r="B38" s="97"/>
      <c r="C38" s="98">
        <f t="shared" si="0"/>
        <v>1.2087999999999999</v>
      </c>
      <c r="D38" s="130">
        <f t="shared" si="1"/>
        <v>9670399.9999999981</v>
      </c>
      <c r="E38" s="64">
        <f t="shared" si="2"/>
        <v>10721199.999999998</v>
      </c>
      <c r="F38" s="131">
        <f t="shared" si="3"/>
        <v>10815125.011992708</v>
      </c>
      <c r="G38" s="132">
        <f t="shared" si="4"/>
        <v>231848</v>
      </c>
      <c r="H38" s="133">
        <f t="shared" si="5"/>
        <v>1050800.0000000007</v>
      </c>
      <c r="I38" s="134">
        <f t="shared" si="6"/>
        <v>1144725.0119927097</v>
      </c>
      <c r="J38" s="135">
        <f t="shared" si="7"/>
        <v>9438551.9999999981</v>
      </c>
      <c r="K38" s="136" t="str">
        <f t="shared" si="8"/>
        <v>3. Option Hedge</v>
      </c>
      <c r="L38" s="108" t="str">
        <f t="shared" si="9"/>
        <v>3. Option Hedge</v>
      </c>
      <c r="M38" s="21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</row>
    <row r="39" spans="1:30" ht="24" x14ac:dyDescent="0.3">
      <c r="A39" s="85"/>
      <c r="B39" s="97"/>
      <c r="C39" s="98">
        <f t="shared" si="0"/>
        <v>1.2587999999999999</v>
      </c>
      <c r="D39" s="130">
        <f t="shared" si="1"/>
        <v>10070400</v>
      </c>
      <c r="E39" s="64">
        <f t="shared" si="2"/>
        <v>10721200</v>
      </c>
      <c r="F39" s="131">
        <f t="shared" si="3"/>
        <v>10815125.011992708</v>
      </c>
      <c r="G39" s="132">
        <f t="shared" si="4"/>
        <v>231848.00000000186</v>
      </c>
      <c r="H39" s="133">
        <f t="shared" si="5"/>
        <v>650800.00000000023</v>
      </c>
      <c r="I39" s="134">
        <f t="shared" si="6"/>
        <v>744725.01199270785</v>
      </c>
      <c r="J39" s="135">
        <f t="shared" si="7"/>
        <v>9838551.9999999981</v>
      </c>
      <c r="K39" s="136" t="str">
        <f t="shared" si="8"/>
        <v>3. Option Hedge</v>
      </c>
      <c r="L39" s="108" t="str">
        <f t="shared" si="9"/>
        <v>3. Option Hedge</v>
      </c>
      <c r="M39" s="21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</row>
    <row r="40" spans="1:30" ht="24" x14ac:dyDescent="0.3">
      <c r="A40" s="85"/>
      <c r="B40" s="97"/>
      <c r="C40" s="98">
        <f t="shared" si="0"/>
        <v>1.3088</v>
      </c>
      <c r="D40" s="130">
        <f t="shared" si="1"/>
        <v>10470400</v>
      </c>
      <c r="E40" s="64">
        <f t="shared" si="2"/>
        <v>10721200</v>
      </c>
      <c r="F40" s="131">
        <f t="shared" si="3"/>
        <v>10815125.011992708</v>
      </c>
      <c r="G40" s="132">
        <f t="shared" si="4"/>
        <v>231848</v>
      </c>
      <c r="H40" s="133">
        <f t="shared" si="5"/>
        <v>250799.99999999991</v>
      </c>
      <c r="I40" s="134">
        <f t="shared" si="6"/>
        <v>344725.01199270785</v>
      </c>
      <c r="J40" s="135">
        <f t="shared" si="7"/>
        <v>10238552</v>
      </c>
      <c r="K40" s="136" t="str">
        <f t="shared" si="8"/>
        <v>3. Option Hedge</v>
      </c>
      <c r="L40" s="106" t="str">
        <f t="shared" si="9"/>
        <v>3. Option Hedge</v>
      </c>
      <c r="M40" s="21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</row>
    <row r="41" spans="1:30" ht="24" x14ac:dyDescent="0.3">
      <c r="A41" s="85"/>
      <c r="B41" s="97"/>
      <c r="C41" s="98">
        <f>F7</f>
        <v>1.3588</v>
      </c>
      <c r="D41" s="130">
        <f t="shared" si="1"/>
        <v>10870400</v>
      </c>
      <c r="E41" s="64">
        <f t="shared" si="2"/>
        <v>10721200</v>
      </c>
      <c r="F41" s="131">
        <f t="shared" si="3"/>
        <v>10815125.011992708</v>
      </c>
      <c r="G41" s="132">
        <f t="shared" si="4"/>
        <v>231848</v>
      </c>
      <c r="H41" s="133">
        <f t="shared" si="5"/>
        <v>-149200.00000000044</v>
      </c>
      <c r="I41" s="134">
        <f t="shared" si="6"/>
        <v>-55274.988007292151</v>
      </c>
      <c r="J41" s="135">
        <f t="shared" si="7"/>
        <v>10638552</v>
      </c>
      <c r="K41" s="136" t="str">
        <f t="shared" si="8"/>
        <v>3. Option Hedge</v>
      </c>
      <c r="L41" s="106" t="str">
        <f t="shared" si="9"/>
        <v>3. Option Hedge</v>
      </c>
      <c r="M41" s="21" t="s">
        <v>74</v>
      </c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</row>
    <row r="42" spans="1:30" ht="24" x14ac:dyDescent="0.3">
      <c r="A42" s="85"/>
      <c r="B42" s="97"/>
      <c r="C42" s="98">
        <f t="shared" ref="C42:C47" si="10">C41+0.05</f>
        <v>1.4088000000000001</v>
      </c>
      <c r="D42" s="130">
        <f t="shared" si="1"/>
        <v>11270400</v>
      </c>
      <c r="E42" s="64">
        <f t="shared" si="2"/>
        <v>10721200</v>
      </c>
      <c r="F42" s="131">
        <f t="shared" si="3"/>
        <v>10815125.011992708</v>
      </c>
      <c r="G42" s="132">
        <f t="shared" si="4"/>
        <v>231848</v>
      </c>
      <c r="H42" s="133">
        <f t="shared" si="5"/>
        <v>-549200.00000000081</v>
      </c>
      <c r="I42" s="134">
        <f t="shared" si="6"/>
        <v>-455274.98800729215</v>
      </c>
      <c r="J42" s="135">
        <f t="shared" si="7"/>
        <v>11038552</v>
      </c>
      <c r="K42" s="136" t="str">
        <f t="shared" si="8"/>
        <v>3. Option Hedge</v>
      </c>
      <c r="L42" s="106" t="str">
        <f t="shared" si="9"/>
        <v>3. Option Hedge</v>
      </c>
      <c r="M42" s="21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</row>
    <row r="43" spans="1:30" ht="24" x14ac:dyDescent="0.3">
      <c r="A43" s="85"/>
      <c r="B43" s="97"/>
      <c r="C43" s="98">
        <f t="shared" si="10"/>
        <v>1.4588000000000001</v>
      </c>
      <c r="D43" s="130">
        <f t="shared" si="1"/>
        <v>11670400</v>
      </c>
      <c r="E43" s="64">
        <f t="shared" si="2"/>
        <v>10721199.999999998</v>
      </c>
      <c r="F43" s="131">
        <f t="shared" si="3"/>
        <v>10815125.011992708</v>
      </c>
      <c r="G43" s="132">
        <f t="shared" si="4"/>
        <v>231848</v>
      </c>
      <c r="H43" s="133">
        <f t="shared" si="5"/>
        <v>-949200.00000000116</v>
      </c>
      <c r="I43" s="134">
        <f t="shared" si="6"/>
        <v>-855274.98800729215</v>
      </c>
      <c r="J43" s="135">
        <f t="shared" si="7"/>
        <v>11438552</v>
      </c>
      <c r="K43" s="136" t="str">
        <f t="shared" si="8"/>
        <v>3. Option Hedge</v>
      </c>
      <c r="L43" s="106" t="str">
        <f t="shared" si="9"/>
        <v>3. Option Hedge</v>
      </c>
      <c r="M43" s="21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</row>
    <row r="44" spans="1:30" ht="24" x14ac:dyDescent="0.3">
      <c r="A44" s="85"/>
      <c r="B44" s="97"/>
      <c r="C44" s="98">
        <f t="shared" si="10"/>
        <v>1.5088000000000001</v>
      </c>
      <c r="D44" s="130">
        <f t="shared" si="1"/>
        <v>12070400.000000002</v>
      </c>
      <c r="E44" s="64">
        <f t="shared" si="2"/>
        <v>10721200</v>
      </c>
      <c r="F44" s="131">
        <f t="shared" si="3"/>
        <v>10815125.011992708</v>
      </c>
      <c r="G44" s="132">
        <f t="shared" si="4"/>
        <v>231848.00000000186</v>
      </c>
      <c r="H44" s="133">
        <f t="shared" si="5"/>
        <v>-1349200.0000000014</v>
      </c>
      <c r="I44" s="134">
        <f t="shared" si="6"/>
        <v>-1255274.988007294</v>
      </c>
      <c r="J44" s="135">
        <f t="shared" si="7"/>
        <v>11838552</v>
      </c>
      <c r="K44" s="136" t="str">
        <f t="shared" si="8"/>
        <v>3. Option Hedge</v>
      </c>
      <c r="L44" s="108" t="str">
        <f t="shared" si="9"/>
        <v>3. Option Hedge</v>
      </c>
      <c r="M44" s="21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</row>
    <row r="45" spans="1:30" ht="24" x14ac:dyDescent="0.3">
      <c r="A45" s="85"/>
      <c r="B45" s="97"/>
      <c r="C45" s="98">
        <f t="shared" si="10"/>
        <v>1.5588000000000002</v>
      </c>
      <c r="D45" s="130">
        <f t="shared" si="1"/>
        <v>12470400.000000002</v>
      </c>
      <c r="E45" s="64">
        <f t="shared" si="2"/>
        <v>10721200</v>
      </c>
      <c r="F45" s="131">
        <f t="shared" si="3"/>
        <v>10815125.011992708</v>
      </c>
      <c r="G45" s="132">
        <f t="shared" si="4"/>
        <v>231848.00000000186</v>
      </c>
      <c r="H45" s="133">
        <f t="shared" si="5"/>
        <v>-1749200.0000000019</v>
      </c>
      <c r="I45" s="134">
        <f t="shared" si="6"/>
        <v>-1655274.988007294</v>
      </c>
      <c r="J45" s="135">
        <f t="shared" si="7"/>
        <v>12238552</v>
      </c>
      <c r="K45" s="136" t="str">
        <f t="shared" si="8"/>
        <v>3. Option Hedge</v>
      </c>
      <c r="L45" s="108" t="str">
        <f t="shared" si="9"/>
        <v>3. Option Hedge</v>
      </c>
      <c r="M45" s="21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</row>
    <row r="46" spans="1:30" ht="24" x14ac:dyDescent="0.3">
      <c r="A46" s="85"/>
      <c r="B46" s="97"/>
      <c r="C46" s="98">
        <f t="shared" si="10"/>
        <v>1.6088000000000002</v>
      </c>
      <c r="D46" s="130">
        <f t="shared" si="1"/>
        <v>12870400.000000002</v>
      </c>
      <c r="E46" s="64">
        <f t="shared" si="2"/>
        <v>10721200</v>
      </c>
      <c r="F46" s="131">
        <f t="shared" si="3"/>
        <v>10815125.011992708</v>
      </c>
      <c r="G46" s="132">
        <f t="shared" si="4"/>
        <v>231848</v>
      </c>
      <c r="H46" s="133">
        <f t="shared" si="5"/>
        <v>-2149200.0000000023</v>
      </c>
      <c r="I46" s="134">
        <f t="shared" si="6"/>
        <v>-2055274.988007294</v>
      </c>
      <c r="J46" s="135">
        <f t="shared" si="7"/>
        <v>12638552.000000002</v>
      </c>
      <c r="K46" s="136" t="str">
        <f t="shared" si="8"/>
        <v>3. Option Hedge</v>
      </c>
      <c r="L46" s="108" t="str">
        <f t="shared" si="9"/>
        <v>3. Option Hedge</v>
      </c>
      <c r="M46" s="21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</row>
    <row r="47" spans="1:30" ht="25" thickBot="1" x14ac:dyDescent="0.35">
      <c r="A47" s="85"/>
      <c r="B47" s="109"/>
      <c r="C47" s="110">
        <f t="shared" si="10"/>
        <v>1.6588000000000003</v>
      </c>
      <c r="D47" s="137">
        <f t="shared" si="1"/>
        <v>13270400.000000002</v>
      </c>
      <c r="E47" s="138">
        <f t="shared" si="2"/>
        <v>10721200</v>
      </c>
      <c r="F47" s="139">
        <f t="shared" si="3"/>
        <v>10815125.011992708</v>
      </c>
      <c r="G47" s="140">
        <f t="shared" si="4"/>
        <v>231848</v>
      </c>
      <c r="H47" s="141">
        <f t="shared" si="5"/>
        <v>-2549200.0000000028</v>
      </c>
      <c r="I47" s="142">
        <f t="shared" si="6"/>
        <v>-2455274.988007294</v>
      </c>
      <c r="J47" s="143">
        <f t="shared" si="7"/>
        <v>13038552.000000002</v>
      </c>
      <c r="K47" s="144" t="str">
        <f t="shared" si="8"/>
        <v>3. Option Hedge</v>
      </c>
      <c r="L47" s="118" t="str">
        <f t="shared" si="9"/>
        <v>3. Option Hedge</v>
      </c>
      <c r="M47" s="21" t="s">
        <v>90</v>
      </c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</row>
    <row r="48" spans="1:30" ht="24" x14ac:dyDescent="0.2">
      <c r="A48" s="8"/>
      <c r="B48" s="9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</row>
    <row r="49" spans="1:30" ht="24" x14ac:dyDescent="0.2">
      <c r="A49" s="8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</row>
    <row r="50" spans="1:30" ht="24" x14ac:dyDescent="0.2">
      <c r="A50" s="8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</row>
    <row r="51" spans="1:30" ht="24" x14ac:dyDescent="0.2">
      <c r="A51" s="8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</row>
    <row r="52" spans="1:30" ht="24" x14ac:dyDescent="0.2">
      <c r="A52" s="8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</row>
    <row r="53" spans="1:30" ht="24" x14ac:dyDescent="0.2">
      <c r="A53" s="8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</row>
    <row r="54" spans="1:30" ht="24" x14ac:dyDescent="0.2">
      <c r="A54" s="8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</row>
    <row r="55" spans="1:30" ht="24" x14ac:dyDescent="0.2">
      <c r="A55" s="8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</row>
    <row r="56" spans="1:30" ht="24" x14ac:dyDescent="0.2">
      <c r="A56" s="8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</row>
    <row r="57" spans="1:30" ht="24" x14ac:dyDescent="0.2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</row>
    <row r="58" spans="1:30" ht="24" x14ac:dyDescent="0.2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</row>
    <row r="59" spans="1:30" ht="24" x14ac:dyDescent="0.2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</row>
    <row r="60" spans="1:30" ht="24" x14ac:dyDescent="0.2">
      <c r="A60" s="8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</row>
    <row r="61" spans="1:30" ht="24" x14ac:dyDescent="0.2">
      <c r="A61" s="8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</row>
    <row r="62" spans="1:30" ht="24" x14ac:dyDescent="0.2">
      <c r="A62" s="8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</row>
    <row r="63" spans="1:30" ht="24" x14ac:dyDescent="0.2">
      <c r="A63" s="8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</row>
    <row r="64" spans="1:30" ht="24" x14ac:dyDescent="0.2">
      <c r="A64" s="8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</row>
    <row r="65" spans="1:30" ht="24" x14ac:dyDescent="0.2">
      <c r="A65" s="8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</row>
    <row r="66" spans="1:30" ht="24" x14ac:dyDescent="0.2">
      <c r="A66" s="8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</row>
    <row r="67" spans="1:30" ht="24" x14ac:dyDescent="0.2">
      <c r="A67" s="8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</row>
    <row r="68" spans="1:30" ht="24" x14ac:dyDescent="0.2">
      <c r="A68" s="8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</row>
    <row r="69" spans="1:30" ht="24" x14ac:dyDescent="0.2">
      <c r="A69" s="8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</row>
    <row r="70" spans="1:30" ht="24" x14ac:dyDescent="0.2">
      <c r="A70" s="8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</row>
    <row r="71" spans="1:30" ht="24" x14ac:dyDescent="0.2">
      <c r="A71" s="8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</row>
    <row r="72" spans="1:30" ht="24" x14ac:dyDescent="0.2">
      <c r="A72" s="8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</row>
    <row r="73" spans="1:30" ht="24" x14ac:dyDescent="0.2">
      <c r="A73" s="8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</row>
    <row r="74" spans="1:30" ht="24" x14ac:dyDescent="0.2">
      <c r="A74" s="8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</row>
    <row r="75" spans="1:30" ht="24" x14ac:dyDescent="0.2">
      <c r="A75" s="8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</row>
    <row r="76" spans="1:30" ht="24" x14ac:dyDescent="0.2">
      <c r="A76" s="8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</row>
    <row r="77" spans="1:30" ht="24" x14ac:dyDescent="0.2">
      <c r="A77" s="8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</row>
    <row r="78" spans="1:30" ht="24" x14ac:dyDescent="0.2">
      <c r="A78" s="8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</row>
    <row r="79" spans="1:30" ht="24" x14ac:dyDescent="0.2">
      <c r="A79" s="8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</row>
    <row r="80" spans="1:30" ht="24" x14ac:dyDescent="0.2">
      <c r="A80" s="8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</row>
    <row r="81" spans="1:30" ht="24" x14ac:dyDescent="0.2">
      <c r="A81" s="8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</row>
    <row r="82" spans="1:30" ht="24" x14ac:dyDescent="0.2">
      <c r="A82" s="8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</row>
    <row r="83" spans="1:30" ht="24" x14ac:dyDescent="0.2">
      <c r="A83" s="8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</row>
    <row r="84" spans="1:30" ht="24" x14ac:dyDescent="0.2">
      <c r="A84" s="8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</row>
    <row r="85" spans="1:30" ht="24" x14ac:dyDescent="0.2">
      <c r="A85" s="8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</row>
    <row r="86" spans="1:30" ht="24" x14ac:dyDescent="0.2">
      <c r="A86" s="8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</row>
    <row r="87" spans="1:30" ht="24" x14ac:dyDescent="0.2">
      <c r="A87" s="8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</row>
    <row r="88" spans="1:30" ht="24" x14ac:dyDescent="0.2">
      <c r="A88" s="8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</row>
    <row r="89" spans="1:30" ht="24" x14ac:dyDescent="0.2">
      <c r="A89" s="8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</row>
    <row r="90" spans="1:30" ht="24" x14ac:dyDescent="0.2">
      <c r="A90" s="8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</row>
    <row r="91" spans="1:30" ht="24" x14ac:dyDescent="0.2">
      <c r="A91" s="8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 spans="1:30" ht="24" x14ac:dyDescent="0.2">
      <c r="A92" s="8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 spans="1:30" ht="24" x14ac:dyDescent="0.2">
      <c r="A93" s="8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 spans="1:30" ht="24" x14ac:dyDescent="0.2">
      <c r="A94" s="8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 spans="1:30" ht="24" x14ac:dyDescent="0.2">
      <c r="A95" s="8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 spans="1:30" ht="24" x14ac:dyDescent="0.2">
      <c r="A96" s="8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 spans="1:30" ht="24" x14ac:dyDescent="0.2">
      <c r="A97" s="8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 spans="1:30" ht="24" x14ac:dyDescent="0.2">
      <c r="A98" s="8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 spans="1:30" ht="24" x14ac:dyDescent="0.2">
      <c r="A99" s="8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 spans="1:30" ht="24" x14ac:dyDescent="0.2">
      <c r="A100" s="8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 spans="1:30" ht="24" x14ac:dyDescent="0.2">
      <c r="A101" s="8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 spans="1:30" ht="24" x14ac:dyDescent="0.2">
      <c r="A102" s="8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 spans="1:30" ht="24" x14ac:dyDescent="0.2">
      <c r="A103" s="8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 spans="1:30" ht="24" x14ac:dyDescent="0.2">
      <c r="A104" s="8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 spans="1:30" ht="24" x14ac:dyDescent="0.2">
      <c r="A105" s="8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 spans="1:30" ht="24" x14ac:dyDescent="0.2">
      <c r="A106" s="8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 spans="1:30" ht="24" x14ac:dyDescent="0.2">
      <c r="A107" s="8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 spans="1:30" ht="24" x14ac:dyDescent="0.2">
      <c r="A108" s="8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 spans="1:30" ht="24" x14ac:dyDescent="0.2">
      <c r="A109" s="8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 spans="1:30" ht="24" x14ac:dyDescent="0.2">
      <c r="A110" s="8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 spans="1:30" ht="24" x14ac:dyDescent="0.2">
      <c r="A111" s="8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 spans="1:30" ht="24" x14ac:dyDescent="0.2">
      <c r="A112" s="8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 spans="1:30" ht="24" x14ac:dyDescent="0.2">
      <c r="A113" s="8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 spans="1:30" ht="24" x14ac:dyDescent="0.2">
      <c r="A114" s="8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 spans="1:30" ht="24" x14ac:dyDescent="0.2">
      <c r="A115" s="8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 spans="1:30" ht="24" x14ac:dyDescent="0.2">
      <c r="A116" s="8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 spans="1:30" ht="24" x14ac:dyDescent="0.2">
      <c r="A117" s="8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 spans="1:30" ht="24" x14ac:dyDescent="0.2">
      <c r="A118" s="8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 spans="1:30" ht="24" x14ac:dyDescent="0.2">
      <c r="A119" s="8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 spans="1:30" ht="24" x14ac:dyDescent="0.2">
      <c r="A120" s="8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 spans="1:30" ht="24" x14ac:dyDescent="0.2">
      <c r="A121" s="8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 spans="1:30" ht="24" x14ac:dyDescent="0.2">
      <c r="A122" s="8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 spans="1:30" ht="24" x14ac:dyDescent="0.2">
      <c r="A123" s="8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 spans="1:30" ht="24" x14ac:dyDescent="0.2">
      <c r="A124" s="8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 spans="1:30" ht="24" x14ac:dyDescent="0.2">
      <c r="A125" s="8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 spans="1:30" ht="24" x14ac:dyDescent="0.2">
      <c r="A126" s="8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 spans="1:30" ht="24" x14ac:dyDescent="0.2">
      <c r="A127" s="8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 spans="1:30" ht="24" x14ac:dyDescent="0.2">
      <c r="A128" s="8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 spans="1:30" ht="24" x14ac:dyDescent="0.2">
      <c r="A129" s="8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 spans="1:30" ht="24" x14ac:dyDescent="0.2">
      <c r="A130" s="8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 spans="1:30" ht="24" x14ac:dyDescent="0.2">
      <c r="A131" s="8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 spans="1:30" ht="24" x14ac:dyDescent="0.2">
      <c r="A132" s="8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 spans="1:30" ht="24" x14ac:dyDescent="0.2">
      <c r="A133" s="8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 spans="1:30" ht="24" x14ac:dyDescent="0.2">
      <c r="A134" s="8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 spans="1:30" ht="24" x14ac:dyDescent="0.2">
      <c r="A135" s="8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 spans="1:30" ht="24" x14ac:dyDescent="0.2">
      <c r="A136" s="8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 spans="1:30" ht="24" x14ac:dyDescent="0.2">
      <c r="A137" s="8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</row>
    <row r="138" spans="1:30" ht="24" x14ac:dyDescent="0.2">
      <c r="A138" s="8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</row>
    <row r="139" spans="1:30" ht="24" x14ac:dyDescent="0.2">
      <c r="A139" s="8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</row>
    <row r="140" spans="1:30" ht="24" x14ac:dyDescent="0.2">
      <c r="A140" s="8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</row>
    <row r="141" spans="1:30" ht="24" x14ac:dyDescent="0.2">
      <c r="A141" s="8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</row>
    <row r="142" spans="1:30" ht="24" x14ac:dyDescent="0.2">
      <c r="A142" s="8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</row>
    <row r="143" spans="1:30" ht="24" x14ac:dyDescent="0.2">
      <c r="A143" s="8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</row>
    <row r="144" spans="1:30" ht="24" x14ac:dyDescent="0.2">
      <c r="A144" s="8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</row>
    <row r="145" spans="1:30" ht="24" x14ac:dyDescent="0.2">
      <c r="A145" s="8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</row>
    <row r="146" spans="1:30" ht="24" x14ac:dyDescent="0.2">
      <c r="A146" s="8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</row>
    <row r="147" spans="1:30" ht="24" x14ac:dyDescent="0.2">
      <c r="A147" s="8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</row>
    <row r="148" spans="1:30" ht="24" x14ac:dyDescent="0.2">
      <c r="A148" s="8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</row>
    <row r="149" spans="1:30" ht="24" x14ac:dyDescent="0.2">
      <c r="A149" s="8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</row>
    <row r="150" spans="1:30" ht="24" x14ac:dyDescent="0.2">
      <c r="A150" s="8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</row>
    <row r="151" spans="1:30" ht="24" x14ac:dyDescent="0.2">
      <c r="A151" s="8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</row>
    <row r="152" spans="1:30" ht="24" x14ac:dyDescent="0.2">
      <c r="A152" s="8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</row>
    <row r="153" spans="1:30" ht="24" x14ac:dyDescent="0.2">
      <c r="A153" s="8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</row>
    <row r="154" spans="1:30" ht="24" x14ac:dyDescent="0.2">
      <c r="A154" s="8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</row>
    <row r="155" spans="1:30" ht="24" x14ac:dyDescent="0.2">
      <c r="A155" s="8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</row>
    <row r="156" spans="1:30" ht="24" x14ac:dyDescent="0.2">
      <c r="A156" s="8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</row>
    <row r="157" spans="1:30" ht="24" x14ac:dyDescent="0.2">
      <c r="A157" s="8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</row>
    <row r="158" spans="1:30" ht="24" x14ac:dyDescent="0.2">
      <c r="A158" s="8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</row>
    <row r="159" spans="1:30" ht="24" x14ac:dyDescent="0.2">
      <c r="A159" s="8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</row>
    <row r="160" spans="1:30" ht="24" x14ac:dyDescent="0.2">
      <c r="A160" s="8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</row>
    <row r="161" spans="1:30" ht="24" x14ac:dyDescent="0.2">
      <c r="A161" s="8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</row>
    <row r="162" spans="1:30" ht="24" x14ac:dyDescent="0.2">
      <c r="A162" s="8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</row>
    <row r="163" spans="1:30" ht="24" x14ac:dyDescent="0.2">
      <c r="A163" s="8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</row>
    <row r="164" spans="1:30" ht="24" x14ac:dyDescent="0.2">
      <c r="A164" s="8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</row>
    <row r="165" spans="1:30" ht="24" x14ac:dyDescent="0.2">
      <c r="A165" s="8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</row>
    <row r="166" spans="1:30" ht="24" x14ac:dyDescent="0.2">
      <c r="A166" s="8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</row>
    <row r="167" spans="1:30" ht="24" x14ac:dyDescent="0.2">
      <c r="A167" s="8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</row>
    <row r="168" spans="1:30" ht="24" x14ac:dyDescent="0.2">
      <c r="A168" s="8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</row>
    <row r="169" spans="1:30" ht="24" x14ac:dyDescent="0.2">
      <c r="A169" s="8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</row>
    <row r="170" spans="1:30" ht="24" x14ac:dyDescent="0.2">
      <c r="A170" s="8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</row>
    <row r="171" spans="1:30" ht="24" x14ac:dyDescent="0.2">
      <c r="A171" s="8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</row>
    <row r="172" spans="1:30" ht="24" x14ac:dyDescent="0.2">
      <c r="A172" s="8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</row>
    <row r="173" spans="1:30" ht="24" x14ac:dyDescent="0.2">
      <c r="A173" s="8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</row>
    <row r="174" spans="1:30" ht="24" x14ac:dyDescent="0.2">
      <c r="A174" s="8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</row>
    <row r="175" spans="1:30" ht="24" x14ac:dyDescent="0.2">
      <c r="A175" s="8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</row>
    <row r="176" spans="1:30" ht="24" x14ac:dyDescent="0.2">
      <c r="A176" s="8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</row>
    <row r="177" spans="1:30" ht="24" x14ac:dyDescent="0.2">
      <c r="A177" s="8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</row>
    <row r="178" spans="1:30" ht="24" x14ac:dyDescent="0.2">
      <c r="A178" s="8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</row>
    <row r="179" spans="1:30" ht="24" x14ac:dyDescent="0.2">
      <c r="A179" s="8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</row>
    <row r="180" spans="1:30" ht="24" x14ac:dyDescent="0.2">
      <c r="A180" s="8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</row>
    <row r="181" spans="1:30" ht="24" x14ac:dyDescent="0.2">
      <c r="A181" s="8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</row>
    <row r="182" spans="1:30" ht="24" x14ac:dyDescent="0.2">
      <c r="A182" s="8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</row>
    <row r="183" spans="1:30" ht="24" x14ac:dyDescent="0.2">
      <c r="A183" s="8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</row>
    <row r="184" spans="1:30" ht="24" x14ac:dyDescent="0.2">
      <c r="A184" s="8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</row>
    <row r="185" spans="1:30" ht="24" x14ac:dyDescent="0.2">
      <c r="A185" s="8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</row>
    <row r="186" spans="1:30" ht="24" x14ac:dyDescent="0.2">
      <c r="A186" s="8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</row>
    <row r="187" spans="1:30" ht="24" x14ac:dyDescent="0.2">
      <c r="A187" s="8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</row>
    <row r="188" spans="1:30" ht="24" x14ac:dyDescent="0.2">
      <c r="A188" s="8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</row>
    <row r="189" spans="1:30" ht="24" x14ac:dyDescent="0.2">
      <c r="A189" s="8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</row>
    <row r="190" spans="1:30" ht="24" x14ac:dyDescent="0.2">
      <c r="A190" s="8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</row>
    <row r="191" spans="1:30" ht="24" x14ac:dyDescent="0.2">
      <c r="A191" s="8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</row>
    <row r="192" spans="1:30" ht="24" x14ac:dyDescent="0.2">
      <c r="A192" s="8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</row>
    <row r="193" spans="1:30" ht="24" x14ac:dyDescent="0.2">
      <c r="A193" s="8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</row>
    <row r="194" spans="1:30" ht="24" x14ac:dyDescent="0.2">
      <c r="A194" s="8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</row>
    <row r="195" spans="1:30" ht="24" x14ac:dyDescent="0.2">
      <c r="A195" s="8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</row>
    <row r="196" spans="1:30" ht="24" x14ac:dyDescent="0.2">
      <c r="A196" s="8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</row>
    <row r="197" spans="1:30" ht="24" x14ac:dyDescent="0.2">
      <c r="A197" s="8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</row>
    <row r="198" spans="1:30" ht="24" x14ac:dyDescent="0.2">
      <c r="A198" s="8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</row>
    <row r="199" spans="1:30" ht="24" x14ac:dyDescent="0.2">
      <c r="A199" s="8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</row>
    <row r="200" spans="1:30" ht="24" x14ac:dyDescent="0.2">
      <c r="A200" s="8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</row>
    <row r="201" spans="1:30" ht="24" x14ac:dyDescent="0.2">
      <c r="A201" s="8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</row>
    <row r="202" spans="1:30" ht="24" x14ac:dyDescent="0.2">
      <c r="A202" s="8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</row>
    <row r="203" spans="1:30" ht="24" x14ac:dyDescent="0.2">
      <c r="A203" s="8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</row>
    <row r="204" spans="1:30" ht="24" x14ac:dyDescent="0.2">
      <c r="A204" s="8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</row>
    <row r="205" spans="1:30" ht="24" x14ac:dyDescent="0.2">
      <c r="A205" s="8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</row>
    <row r="206" spans="1:30" ht="24" x14ac:dyDescent="0.2">
      <c r="A206" s="8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</row>
    <row r="207" spans="1:30" ht="24" x14ac:dyDescent="0.2">
      <c r="A207" s="8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</row>
    <row r="208" spans="1:30" ht="24" x14ac:dyDescent="0.2">
      <c r="A208" s="8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</row>
    <row r="209" spans="1:30" ht="24" x14ac:dyDescent="0.2">
      <c r="A209" s="8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</row>
    <row r="210" spans="1:30" ht="24" x14ac:dyDescent="0.2">
      <c r="A210" s="8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</row>
    <row r="211" spans="1:30" ht="24" x14ac:dyDescent="0.2">
      <c r="A211" s="8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</row>
    <row r="212" spans="1:30" ht="24" x14ac:dyDescent="0.2">
      <c r="A212" s="8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</row>
    <row r="213" spans="1:30" ht="24" x14ac:dyDescent="0.2">
      <c r="A213" s="8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</row>
    <row r="214" spans="1:30" ht="24" x14ac:dyDescent="0.2">
      <c r="A214" s="8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</row>
    <row r="215" spans="1:30" ht="24" x14ac:dyDescent="0.2">
      <c r="A215" s="8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</row>
    <row r="216" spans="1:30" ht="24" x14ac:dyDescent="0.2">
      <c r="A216" s="8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</row>
    <row r="217" spans="1:30" ht="24" x14ac:dyDescent="0.2">
      <c r="A217" s="8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</row>
    <row r="218" spans="1:30" ht="24" x14ac:dyDescent="0.2">
      <c r="A218" s="8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 spans="1:30" ht="24" x14ac:dyDescent="0.2">
      <c r="A219" s="8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 spans="1:30" ht="24" x14ac:dyDescent="0.2">
      <c r="A220" s="8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 spans="1:30" ht="24" x14ac:dyDescent="0.2">
      <c r="A221" s="8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 spans="1:30" ht="24" x14ac:dyDescent="0.2">
      <c r="A222" s="8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 spans="1:30" ht="24" x14ac:dyDescent="0.2">
      <c r="A223" s="8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 spans="1:30" ht="24" x14ac:dyDescent="0.2">
      <c r="A224" s="8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 spans="1:30" ht="24" x14ac:dyDescent="0.2">
      <c r="A225" s="8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 spans="1:30" ht="24" x14ac:dyDescent="0.2">
      <c r="A226" s="8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 spans="1:30" ht="24" x14ac:dyDescent="0.2">
      <c r="A227" s="8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 spans="1:30" ht="24" x14ac:dyDescent="0.2">
      <c r="A228" s="8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 spans="1:30" ht="24" x14ac:dyDescent="0.2">
      <c r="A229" s="8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 spans="1:30" ht="24" x14ac:dyDescent="0.2">
      <c r="A230" s="8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 spans="1:30" ht="24" x14ac:dyDescent="0.2">
      <c r="A231" s="8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 spans="1:30" ht="24" x14ac:dyDescent="0.2">
      <c r="A232" s="8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 spans="1:30" ht="24" x14ac:dyDescent="0.2">
      <c r="A233" s="8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 spans="1:30" ht="24" x14ac:dyDescent="0.2">
      <c r="A234" s="8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 spans="1:30" ht="24" x14ac:dyDescent="0.2">
      <c r="A235" s="8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 spans="1:30" ht="24" x14ac:dyDescent="0.2">
      <c r="A236" s="8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 spans="1:30" ht="24" x14ac:dyDescent="0.2">
      <c r="A237" s="8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 spans="1:30" ht="24" x14ac:dyDescent="0.2">
      <c r="A238" s="8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 spans="1:30" ht="24" x14ac:dyDescent="0.2">
      <c r="A239" s="8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 spans="1:30" ht="24" x14ac:dyDescent="0.2">
      <c r="A240" s="8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 spans="1:30" ht="24" x14ac:dyDescent="0.2">
      <c r="A241" s="8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 spans="1:30" ht="24" x14ac:dyDescent="0.2">
      <c r="A242" s="8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 spans="1:30" ht="24" x14ac:dyDescent="0.2">
      <c r="A243" s="8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 spans="1:30" ht="24" x14ac:dyDescent="0.2">
      <c r="A244" s="8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 spans="1:30" ht="24" x14ac:dyDescent="0.2">
      <c r="A245" s="8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 spans="1:30" ht="24" x14ac:dyDescent="0.2">
      <c r="A246" s="8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 spans="1:30" ht="24" x14ac:dyDescent="0.2">
      <c r="A247" s="8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 spans="1:30" ht="24" x14ac:dyDescent="0.2">
      <c r="A248" s="8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 spans="1:30" ht="24" x14ac:dyDescent="0.2">
      <c r="A249" s="8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 spans="1:30" ht="24" x14ac:dyDescent="0.2">
      <c r="A250" s="8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 spans="1:30" ht="24" x14ac:dyDescent="0.2">
      <c r="A251" s="8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 spans="1:30" ht="24" x14ac:dyDescent="0.2">
      <c r="A252" s="8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spans="1:30" ht="24" x14ac:dyDescent="0.2">
      <c r="A253" s="8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 spans="1:30" ht="24" x14ac:dyDescent="0.2">
      <c r="A254" s="8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spans="1:30" ht="24" x14ac:dyDescent="0.2">
      <c r="A255" s="8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 spans="1:30" ht="24" x14ac:dyDescent="0.2">
      <c r="A256" s="8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 spans="1:30" ht="24" x14ac:dyDescent="0.2">
      <c r="A257" s="8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 spans="1:30" ht="24" x14ac:dyDescent="0.2">
      <c r="A258" s="8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 spans="1:30" ht="24" x14ac:dyDescent="0.2">
      <c r="A259" s="8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 spans="1:30" ht="24" x14ac:dyDescent="0.2">
      <c r="A260" s="8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 spans="1:30" ht="24" x14ac:dyDescent="0.2">
      <c r="A261" s="8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 spans="1:30" ht="24" x14ac:dyDescent="0.2">
      <c r="A262" s="8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 spans="1:30" ht="24" x14ac:dyDescent="0.2">
      <c r="A263" s="8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spans="1:30" ht="24" x14ac:dyDescent="0.2">
      <c r="A264" s="8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spans="1:30" ht="24" x14ac:dyDescent="0.2">
      <c r="A265" s="8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 spans="1:30" ht="24" x14ac:dyDescent="0.2">
      <c r="A266" s="8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 spans="1:30" ht="24" x14ac:dyDescent="0.2">
      <c r="A267" s="8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 spans="1:30" ht="24" x14ac:dyDescent="0.2">
      <c r="A268" s="8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spans="1:30" ht="24" x14ac:dyDescent="0.2">
      <c r="A269" s="8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 spans="1:30" ht="24" x14ac:dyDescent="0.2">
      <c r="A270" s="8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 spans="1:30" ht="24" x14ac:dyDescent="0.2">
      <c r="A271" s="8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 spans="1:30" ht="24" x14ac:dyDescent="0.2">
      <c r="A272" s="8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 spans="1:30" ht="24" x14ac:dyDescent="0.2">
      <c r="A273" s="8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 spans="1:30" ht="24" x14ac:dyDescent="0.2">
      <c r="A274" s="8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 spans="1:30" ht="24" x14ac:dyDescent="0.2">
      <c r="A275" s="8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 spans="1:30" ht="24" x14ac:dyDescent="0.2">
      <c r="A276" s="8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 spans="1:30" ht="24" x14ac:dyDescent="0.2">
      <c r="A277" s="8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spans="1:30" ht="24" x14ac:dyDescent="0.2">
      <c r="A278" s="8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 spans="1:30" ht="24" x14ac:dyDescent="0.2">
      <c r="A279" s="8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spans="1:30" ht="24" x14ac:dyDescent="0.2">
      <c r="A280" s="8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 spans="1:30" ht="24" x14ac:dyDescent="0.2">
      <c r="A281" s="8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 spans="1:30" ht="24" x14ac:dyDescent="0.2">
      <c r="A282" s="8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 spans="1:30" ht="24" x14ac:dyDescent="0.2">
      <c r="A283" s="8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 spans="1:30" ht="24" x14ac:dyDescent="0.2">
      <c r="A284" s="8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 spans="1:30" ht="24" x14ac:dyDescent="0.2">
      <c r="A285" s="8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 spans="1:30" ht="24" x14ac:dyDescent="0.2">
      <c r="A286" s="8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 spans="1:30" ht="24" x14ac:dyDescent="0.2">
      <c r="A287" s="8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 spans="1:30" ht="24" x14ac:dyDescent="0.2">
      <c r="A288" s="8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 spans="1:30" ht="24" x14ac:dyDescent="0.2">
      <c r="A289" s="8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 spans="1:30" ht="24" x14ac:dyDescent="0.2">
      <c r="A290" s="8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 spans="1:30" ht="24" x14ac:dyDescent="0.2">
      <c r="A291" s="8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 spans="1:30" ht="24" x14ac:dyDescent="0.2">
      <c r="A292" s="8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 spans="1:30" ht="24" x14ac:dyDescent="0.2">
      <c r="A293" s="8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spans="1:30" ht="24" x14ac:dyDescent="0.2">
      <c r="A294" s="8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 spans="1:30" ht="24" x14ac:dyDescent="0.2">
      <c r="A295" s="8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 spans="1:30" ht="24" x14ac:dyDescent="0.2">
      <c r="A296" s="8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spans="1:30" ht="24" x14ac:dyDescent="0.2">
      <c r="A297" s="8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 spans="1:30" ht="24" x14ac:dyDescent="0.2">
      <c r="A298" s="8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spans="1:30" ht="24" x14ac:dyDescent="0.2">
      <c r="A299" s="8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 spans="1:30" ht="24" x14ac:dyDescent="0.2">
      <c r="A300" s="8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 spans="1:30" ht="24" x14ac:dyDescent="0.2">
      <c r="A301" s="8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 spans="1:30" ht="24" x14ac:dyDescent="0.2">
      <c r="A302" s="8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 spans="1:30" ht="24" x14ac:dyDescent="0.2">
      <c r="A303" s="8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 spans="1:30" ht="24" x14ac:dyDescent="0.2">
      <c r="A304" s="8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 spans="1:30" ht="24" x14ac:dyDescent="0.2">
      <c r="A305" s="8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 spans="1:30" ht="24" x14ac:dyDescent="0.2">
      <c r="A306" s="8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 spans="1:30" ht="24" x14ac:dyDescent="0.2">
      <c r="A307" s="8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 spans="1:30" ht="24" x14ac:dyDescent="0.2">
      <c r="A308" s="8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 spans="1:30" ht="24" x14ac:dyDescent="0.2">
      <c r="A309" s="8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 spans="1:30" ht="24" x14ac:dyDescent="0.2">
      <c r="A310" s="8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 spans="1:30" ht="24" x14ac:dyDescent="0.2">
      <c r="A311" s="8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 spans="1:30" ht="24" x14ac:dyDescent="0.2">
      <c r="A312" s="8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 spans="1:30" ht="24" x14ac:dyDescent="0.2">
      <c r="A313" s="8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 spans="1:30" ht="24" x14ac:dyDescent="0.2">
      <c r="A314" s="8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 spans="1:30" ht="24" x14ac:dyDescent="0.2">
      <c r="A315" s="8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spans="1:30" ht="24" x14ac:dyDescent="0.2">
      <c r="A316" s="8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spans="1:30" ht="24" x14ac:dyDescent="0.2">
      <c r="A317" s="8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spans="1:30" ht="24" x14ac:dyDescent="0.2">
      <c r="A318" s="8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spans="1:30" ht="24" x14ac:dyDescent="0.2">
      <c r="A319" s="8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spans="1:30" ht="24" x14ac:dyDescent="0.2">
      <c r="A320" s="8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spans="1:30" ht="24" x14ac:dyDescent="0.2">
      <c r="A321" s="8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spans="1:30" ht="24" x14ac:dyDescent="0.2">
      <c r="A322" s="8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spans="1:30" ht="24" x14ac:dyDescent="0.2">
      <c r="A323" s="8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spans="1:30" ht="24" x14ac:dyDescent="0.2">
      <c r="A324" s="8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spans="1:30" ht="24" x14ac:dyDescent="0.2">
      <c r="A325" s="8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spans="1:30" ht="24" x14ac:dyDescent="0.2">
      <c r="A326" s="8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spans="1:30" ht="24" x14ac:dyDescent="0.2">
      <c r="A327" s="8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spans="1:30" ht="24" x14ac:dyDescent="0.2">
      <c r="A328" s="8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spans="1:30" ht="24" x14ac:dyDescent="0.2">
      <c r="A329" s="8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spans="1:30" ht="24" x14ac:dyDescent="0.2">
      <c r="A330" s="8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spans="1:30" ht="24" x14ac:dyDescent="0.2">
      <c r="A331" s="8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spans="1:30" ht="24" x14ac:dyDescent="0.2">
      <c r="A332" s="8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spans="1:30" ht="24" x14ac:dyDescent="0.2">
      <c r="A333" s="8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spans="1:30" ht="24" x14ac:dyDescent="0.2">
      <c r="A334" s="8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spans="1:30" ht="24" x14ac:dyDescent="0.2">
      <c r="A335" s="8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spans="1:30" ht="24" x14ac:dyDescent="0.2">
      <c r="A336" s="8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spans="1:30" ht="24" x14ac:dyDescent="0.2">
      <c r="A337" s="8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spans="1:30" ht="24" x14ac:dyDescent="0.2">
      <c r="A338" s="8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spans="1:30" ht="24" x14ac:dyDescent="0.2">
      <c r="A339" s="8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spans="1:30" ht="24" x14ac:dyDescent="0.2">
      <c r="A340" s="8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spans="1:30" ht="24" x14ac:dyDescent="0.2">
      <c r="A341" s="8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spans="1:30" ht="24" x14ac:dyDescent="0.2">
      <c r="A342" s="8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spans="1:30" ht="24" x14ac:dyDescent="0.2">
      <c r="A343" s="8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spans="1:30" ht="24" x14ac:dyDescent="0.2">
      <c r="A344" s="8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spans="1:30" ht="24" x14ac:dyDescent="0.2">
      <c r="A345" s="8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spans="1:30" ht="24" x14ac:dyDescent="0.2">
      <c r="A346" s="8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spans="1:30" ht="24" x14ac:dyDescent="0.2">
      <c r="A347" s="8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spans="1:30" ht="24" x14ac:dyDescent="0.2">
      <c r="A348" s="8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spans="1:30" ht="24" x14ac:dyDescent="0.2">
      <c r="A349" s="8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spans="1:30" ht="24" x14ac:dyDescent="0.2">
      <c r="A350" s="8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spans="1:30" ht="24" x14ac:dyDescent="0.2">
      <c r="A351" s="8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spans="1:30" ht="24" x14ac:dyDescent="0.2">
      <c r="A352" s="8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spans="1:30" ht="24" x14ac:dyDescent="0.2">
      <c r="A353" s="8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spans="1:30" ht="24" x14ac:dyDescent="0.2">
      <c r="A354" s="8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spans="1:30" ht="24" x14ac:dyDescent="0.2">
      <c r="A355" s="8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spans="1:30" ht="24" x14ac:dyDescent="0.2">
      <c r="A356" s="8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spans="1:30" ht="24" x14ac:dyDescent="0.2">
      <c r="A357" s="8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spans="1:30" ht="24" x14ac:dyDescent="0.2">
      <c r="A358" s="8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spans="1:30" ht="24" x14ac:dyDescent="0.2">
      <c r="A359" s="8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spans="1:30" ht="24" x14ac:dyDescent="0.2">
      <c r="A360" s="8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spans="1:30" ht="24" x14ac:dyDescent="0.2">
      <c r="A361" s="8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spans="1:30" ht="24" x14ac:dyDescent="0.2">
      <c r="A362" s="8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spans="1:30" ht="24" x14ac:dyDescent="0.2">
      <c r="A363" s="8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spans="1:30" ht="24" x14ac:dyDescent="0.2">
      <c r="A364" s="8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spans="1:30" ht="24" x14ac:dyDescent="0.2">
      <c r="A365" s="8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spans="1:30" ht="24" x14ac:dyDescent="0.2">
      <c r="A366" s="8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spans="1:30" ht="24" x14ac:dyDescent="0.2">
      <c r="A367" s="8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spans="1:30" ht="24" x14ac:dyDescent="0.2">
      <c r="A368" s="8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spans="1:30" ht="24" x14ac:dyDescent="0.2">
      <c r="A369" s="8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spans="1:30" ht="24" x14ac:dyDescent="0.2">
      <c r="A370" s="8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spans="1:30" ht="24" x14ac:dyDescent="0.2">
      <c r="A371" s="8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spans="1:30" ht="24" x14ac:dyDescent="0.2">
      <c r="A372" s="8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spans="1:30" ht="24" x14ac:dyDescent="0.2">
      <c r="A373" s="8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spans="1:30" ht="24" x14ac:dyDescent="0.2">
      <c r="A374" s="8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spans="1:30" ht="24" x14ac:dyDescent="0.2">
      <c r="A375" s="8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spans="1:30" ht="24" x14ac:dyDescent="0.2">
      <c r="A376" s="8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spans="1:30" ht="24" x14ac:dyDescent="0.2">
      <c r="A377" s="8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spans="1:30" ht="24" x14ac:dyDescent="0.2">
      <c r="A378" s="8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spans="1:30" ht="24" x14ac:dyDescent="0.2">
      <c r="A379" s="8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spans="1:30" ht="24" x14ac:dyDescent="0.2">
      <c r="A380" s="8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spans="1:30" ht="24" x14ac:dyDescent="0.2">
      <c r="A381" s="8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spans="1:30" ht="24" x14ac:dyDescent="0.2">
      <c r="A382" s="8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spans="1:30" ht="24" x14ac:dyDescent="0.2">
      <c r="A383" s="8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spans="1:30" ht="24" x14ac:dyDescent="0.2">
      <c r="A384" s="8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spans="1:30" ht="24" x14ac:dyDescent="0.2">
      <c r="A385" s="8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spans="1:30" ht="24" x14ac:dyDescent="0.2">
      <c r="A386" s="8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spans="1:30" ht="24" x14ac:dyDescent="0.2">
      <c r="A387" s="8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spans="1:30" ht="24" x14ac:dyDescent="0.2">
      <c r="A388" s="8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spans="1:30" ht="24" x14ac:dyDescent="0.2">
      <c r="A389" s="8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spans="1:30" ht="24" x14ac:dyDescent="0.2">
      <c r="A390" s="8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spans="1:30" ht="24" x14ac:dyDescent="0.2">
      <c r="A391" s="8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spans="1:30" ht="24" x14ac:dyDescent="0.2">
      <c r="A392" s="8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spans="1:30" ht="24" x14ac:dyDescent="0.2">
      <c r="A393" s="8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spans="1:30" ht="24" x14ac:dyDescent="0.2">
      <c r="A394" s="8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spans="1:30" ht="24" x14ac:dyDescent="0.2">
      <c r="A395" s="8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spans="1:30" ht="24" x14ac:dyDescent="0.2">
      <c r="A396" s="8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spans="1:30" ht="24" x14ac:dyDescent="0.2">
      <c r="A397" s="8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spans="1:30" ht="24" x14ac:dyDescent="0.2">
      <c r="A398" s="8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spans="1:30" ht="24" x14ac:dyDescent="0.2">
      <c r="A399" s="8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spans="1:30" ht="24" x14ac:dyDescent="0.2">
      <c r="A400" s="8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spans="1:30" ht="24" x14ac:dyDescent="0.2">
      <c r="A401" s="8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spans="1:30" ht="24" x14ac:dyDescent="0.2">
      <c r="A402" s="8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spans="1:30" ht="24" x14ac:dyDescent="0.2">
      <c r="A403" s="8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spans="1:30" ht="24" x14ac:dyDescent="0.2">
      <c r="A404" s="8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spans="1:30" ht="24" x14ac:dyDescent="0.2">
      <c r="A405" s="8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spans="1:30" ht="24" x14ac:dyDescent="0.2">
      <c r="A406" s="8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spans="1:30" ht="24" x14ac:dyDescent="0.2">
      <c r="A407" s="8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spans="1:30" ht="24" x14ac:dyDescent="0.2">
      <c r="A408" s="8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spans="1:30" ht="24" x14ac:dyDescent="0.2">
      <c r="A409" s="8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spans="1:30" ht="24" x14ac:dyDescent="0.2">
      <c r="A410" s="8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spans="1:30" ht="24" x14ac:dyDescent="0.2">
      <c r="A411" s="8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spans="1:30" ht="24" x14ac:dyDescent="0.2">
      <c r="A412" s="8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spans="1:30" ht="24" x14ac:dyDescent="0.2">
      <c r="A413" s="8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spans="1:30" ht="24" x14ac:dyDescent="0.2">
      <c r="A414" s="8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spans="1:30" ht="24" x14ac:dyDescent="0.2">
      <c r="A415" s="8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spans="1:30" ht="24" x14ac:dyDescent="0.2">
      <c r="A416" s="8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spans="1:30" ht="24" x14ac:dyDescent="0.2">
      <c r="A417" s="8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spans="1:30" ht="24" x14ac:dyDescent="0.2">
      <c r="A418" s="8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spans="1:30" ht="24" x14ac:dyDescent="0.2">
      <c r="A419" s="8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spans="1:30" ht="24" x14ac:dyDescent="0.2">
      <c r="A420" s="8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spans="1:30" ht="24" x14ac:dyDescent="0.2">
      <c r="A421" s="8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spans="1:30" ht="24" x14ac:dyDescent="0.2">
      <c r="A422" s="8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spans="1:30" ht="24" x14ac:dyDescent="0.2">
      <c r="A423" s="8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spans="1:30" ht="24" x14ac:dyDescent="0.2">
      <c r="A424" s="8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spans="1:30" ht="24" x14ac:dyDescent="0.2">
      <c r="A425" s="8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spans="1:30" ht="24" x14ac:dyDescent="0.2">
      <c r="A426" s="8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spans="1:30" ht="24" x14ac:dyDescent="0.2">
      <c r="A427" s="8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spans="1:30" ht="24" x14ac:dyDescent="0.2">
      <c r="A428" s="8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spans="1:30" ht="24" x14ac:dyDescent="0.2">
      <c r="A429" s="8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spans="1:30" ht="24" x14ac:dyDescent="0.2">
      <c r="A430" s="8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spans="1:30" ht="24" x14ac:dyDescent="0.2">
      <c r="A431" s="8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spans="1:30" ht="24" x14ac:dyDescent="0.2">
      <c r="A432" s="8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spans="1:30" ht="24" x14ac:dyDescent="0.2">
      <c r="A433" s="8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spans="1:30" ht="24" x14ac:dyDescent="0.2">
      <c r="A434" s="8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spans="1:30" ht="24" x14ac:dyDescent="0.2">
      <c r="A435" s="8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spans="1:30" ht="24" x14ac:dyDescent="0.2">
      <c r="A436" s="8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spans="1:30" ht="24" x14ac:dyDescent="0.2">
      <c r="A437" s="8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spans="1:30" ht="24" x14ac:dyDescent="0.2">
      <c r="A438" s="8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spans="1:30" ht="24" x14ac:dyDescent="0.2">
      <c r="A439" s="8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spans="1:30" ht="24" x14ac:dyDescent="0.2">
      <c r="A440" s="8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spans="1:30" ht="24" x14ac:dyDescent="0.2">
      <c r="A441" s="8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spans="1:30" ht="24" x14ac:dyDescent="0.2">
      <c r="A442" s="8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spans="1:30" ht="24" x14ac:dyDescent="0.2">
      <c r="A443" s="8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spans="1:30" ht="24" x14ac:dyDescent="0.2">
      <c r="A444" s="8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spans="1:30" ht="24" x14ac:dyDescent="0.2">
      <c r="A445" s="8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spans="1:30" ht="24" x14ac:dyDescent="0.2">
      <c r="A446" s="8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spans="1:30" ht="24" x14ac:dyDescent="0.2">
      <c r="A447" s="8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spans="1:30" ht="24" x14ac:dyDescent="0.2">
      <c r="A448" s="8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spans="1:30" ht="24" x14ac:dyDescent="0.2">
      <c r="A449" s="8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spans="1:30" ht="24" x14ac:dyDescent="0.2">
      <c r="A450" s="8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spans="1:30" ht="24" x14ac:dyDescent="0.2">
      <c r="A451" s="8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spans="1:30" ht="24" x14ac:dyDescent="0.2">
      <c r="A452" s="8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spans="1:30" ht="24" x14ac:dyDescent="0.2">
      <c r="A453" s="8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spans="1:30" ht="24" x14ac:dyDescent="0.2">
      <c r="A454" s="8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spans="1:30" ht="24" x14ac:dyDescent="0.2">
      <c r="A455" s="8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spans="1:30" ht="24" x14ac:dyDescent="0.2">
      <c r="A456" s="8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spans="1:30" ht="24" x14ac:dyDescent="0.2">
      <c r="A457" s="8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spans="1:30" ht="24" x14ac:dyDescent="0.2">
      <c r="A458" s="8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spans="1:30" ht="24" x14ac:dyDescent="0.2">
      <c r="A459" s="8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spans="1:30" ht="24" x14ac:dyDescent="0.2">
      <c r="A460" s="8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spans="1:30" ht="24" x14ac:dyDescent="0.2">
      <c r="A461" s="8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spans="1:30" ht="24" x14ac:dyDescent="0.2">
      <c r="A462" s="8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spans="1:30" ht="24" x14ac:dyDescent="0.2">
      <c r="A463" s="8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spans="1:30" ht="24" x14ac:dyDescent="0.2">
      <c r="A464" s="8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spans="1:30" ht="24" x14ac:dyDescent="0.2">
      <c r="A465" s="8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spans="1:30" ht="24" x14ac:dyDescent="0.2">
      <c r="A466" s="8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spans="1:30" ht="24" x14ac:dyDescent="0.2">
      <c r="A467" s="8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spans="1:30" ht="24" x14ac:dyDescent="0.2">
      <c r="A468" s="8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spans="1:30" ht="24" x14ac:dyDescent="0.2">
      <c r="A469" s="8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spans="1:30" ht="24" x14ac:dyDescent="0.2">
      <c r="A470" s="8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spans="1:30" ht="24" x14ac:dyDescent="0.2">
      <c r="A471" s="8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spans="1:30" ht="24" x14ac:dyDescent="0.2">
      <c r="A472" s="8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spans="1:30" ht="24" x14ac:dyDescent="0.2">
      <c r="A473" s="8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spans="1:30" ht="24" x14ac:dyDescent="0.2">
      <c r="A474" s="8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spans="1:30" ht="24" x14ac:dyDescent="0.2">
      <c r="A475" s="8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spans="1:30" ht="24" x14ac:dyDescent="0.2">
      <c r="A476" s="8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spans="1:30" ht="24" x14ac:dyDescent="0.2">
      <c r="A477" s="8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spans="1:30" ht="24" x14ac:dyDescent="0.2">
      <c r="A478" s="8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spans="1:30" ht="24" x14ac:dyDescent="0.2">
      <c r="A479" s="8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spans="1:30" ht="24" x14ac:dyDescent="0.2">
      <c r="A480" s="8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spans="1:30" ht="24" x14ac:dyDescent="0.2">
      <c r="A481" s="8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spans="1:30" ht="24" x14ac:dyDescent="0.2">
      <c r="A482" s="8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spans="1:30" ht="24" x14ac:dyDescent="0.2">
      <c r="A483" s="8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spans="1:30" ht="24" x14ac:dyDescent="0.2">
      <c r="A484" s="8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spans="1:30" ht="24" x14ac:dyDescent="0.2">
      <c r="A485" s="8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spans="1:30" ht="24" x14ac:dyDescent="0.2">
      <c r="A486" s="8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spans="1:30" ht="24" x14ac:dyDescent="0.2">
      <c r="A487" s="8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spans="1:30" ht="24" x14ac:dyDescent="0.2">
      <c r="A488" s="8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spans="1:30" ht="24" x14ac:dyDescent="0.2">
      <c r="A489" s="8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spans="1:30" ht="24" x14ac:dyDescent="0.2">
      <c r="A490" s="8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spans="1:30" ht="24" x14ac:dyDescent="0.2">
      <c r="A491" s="8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spans="1:30" ht="24" x14ac:dyDescent="0.2">
      <c r="A492" s="8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spans="1:30" ht="24" x14ac:dyDescent="0.2">
      <c r="A493" s="8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spans="1:30" ht="24" x14ac:dyDescent="0.2">
      <c r="A494" s="8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spans="1:30" ht="24" x14ac:dyDescent="0.2">
      <c r="A495" s="8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spans="1:30" ht="24" x14ac:dyDescent="0.2">
      <c r="A496" s="8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spans="1:30" ht="24" x14ac:dyDescent="0.2">
      <c r="A497" s="8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spans="1:30" ht="24" x14ac:dyDescent="0.2">
      <c r="A498" s="8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spans="1:30" ht="24" x14ac:dyDescent="0.2">
      <c r="A499" s="8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spans="1:30" ht="24" x14ac:dyDescent="0.2">
      <c r="A500" s="8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spans="1:30" ht="24" x14ac:dyDescent="0.2">
      <c r="A501" s="8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spans="1:30" ht="24" x14ac:dyDescent="0.2">
      <c r="A502" s="8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spans="1:30" ht="24" x14ac:dyDescent="0.2">
      <c r="A503" s="8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spans="1:30" ht="24" x14ac:dyDescent="0.2">
      <c r="A504" s="8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spans="1:30" ht="24" x14ac:dyDescent="0.2">
      <c r="A505" s="8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spans="1:30" ht="24" x14ac:dyDescent="0.2">
      <c r="A506" s="8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spans="1:30" ht="24" x14ac:dyDescent="0.2">
      <c r="A507" s="8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spans="1:30" ht="24" x14ac:dyDescent="0.2">
      <c r="A508" s="8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spans="1:30" ht="24" x14ac:dyDescent="0.2">
      <c r="A509" s="8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spans="1:30" ht="24" x14ac:dyDescent="0.2">
      <c r="A510" s="8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spans="1:30" ht="24" x14ac:dyDescent="0.2">
      <c r="A511" s="8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spans="1:30" ht="24" x14ac:dyDescent="0.2">
      <c r="A512" s="8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spans="1:30" ht="24" x14ac:dyDescent="0.2">
      <c r="A513" s="8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spans="1:30" ht="24" x14ac:dyDescent="0.2">
      <c r="A514" s="8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spans="1:30" ht="24" x14ac:dyDescent="0.2">
      <c r="A515" s="8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spans="1:30" ht="24" x14ac:dyDescent="0.2">
      <c r="A516" s="8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spans="1:30" ht="24" x14ac:dyDescent="0.2">
      <c r="A517" s="8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spans="1:30" ht="24" x14ac:dyDescent="0.2">
      <c r="A518" s="8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spans="1:30" ht="24" x14ac:dyDescent="0.2">
      <c r="A519" s="8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spans="1:30" ht="24" x14ac:dyDescent="0.2">
      <c r="A520" s="8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spans="1:30" ht="24" x14ac:dyDescent="0.2">
      <c r="A521" s="8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spans="1:30" ht="24" x14ac:dyDescent="0.2">
      <c r="A522" s="8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spans="1:30" ht="24" x14ac:dyDescent="0.2">
      <c r="A523" s="8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spans="1:30" ht="24" x14ac:dyDescent="0.2">
      <c r="A524" s="8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spans="1:30" ht="24" x14ac:dyDescent="0.2">
      <c r="A525" s="8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spans="1:30" ht="24" x14ac:dyDescent="0.2">
      <c r="A526" s="8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spans="1:30" ht="24" x14ac:dyDescent="0.2">
      <c r="A527" s="8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spans="1:30" ht="24" x14ac:dyDescent="0.2">
      <c r="A528" s="8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spans="1:30" ht="24" x14ac:dyDescent="0.2">
      <c r="A529" s="8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spans="1:30" ht="24" x14ac:dyDescent="0.2">
      <c r="A530" s="8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spans="1:30" ht="24" x14ac:dyDescent="0.2">
      <c r="A531" s="8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spans="1:30" ht="24" x14ac:dyDescent="0.2">
      <c r="A532" s="8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spans="1:30" ht="24" x14ac:dyDescent="0.2">
      <c r="A533" s="8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spans="1:30" ht="24" x14ac:dyDescent="0.2">
      <c r="A534" s="8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spans="1:30" ht="24" x14ac:dyDescent="0.2">
      <c r="A535" s="8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spans="1:30" ht="24" x14ac:dyDescent="0.2">
      <c r="A536" s="8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spans="1:30" ht="24" x14ac:dyDescent="0.2">
      <c r="A537" s="8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spans="1:30" ht="24" x14ac:dyDescent="0.2">
      <c r="A538" s="8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spans="1:30" ht="24" x14ac:dyDescent="0.2">
      <c r="A539" s="8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spans="1:30" ht="24" x14ac:dyDescent="0.2">
      <c r="A540" s="8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spans="1:30" ht="24" x14ac:dyDescent="0.2">
      <c r="A541" s="8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spans="1:30" ht="24" x14ac:dyDescent="0.2">
      <c r="A542" s="8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spans="1:30" ht="24" x14ac:dyDescent="0.2">
      <c r="A543" s="8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spans="1:30" ht="24" x14ac:dyDescent="0.2">
      <c r="A544" s="8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spans="1:30" ht="24" x14ac:dyDescent="0.2">
      <c r="A545" s="8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spans="1:30" ht="24" x14ac:dyDescent="0.2">
      <c r="A546" s="8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spans="1:30" ht="24" x14ac:dyDescent="0.2">
      <c r="A547" s="8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spans="1:30" ht="24" x14ac:dyDescent="0.2">
      <c r="A548" s="8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spans="1:30" ht="24" x14ac:dyDescent="0.2">
      <c r="A549" s="8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spans="1:30" ht="24" x14ac:dyDescent="0.2">
      <c r="A550" s="8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spans="1:30" ht="24" x14ac:dyDescent="0.2">
      <c r="A551" s="8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spans="1:30" ht="24" x14ac:dyDescent="0.2">
      <c r="A552" s="8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spans="1:30" ht="24" x14ac:dyDescent="0.2">
      <c r="A553" s="8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spans="1:30" ht="24" x14ac:dyDescent="0.2">
      <c r="A554" s="8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spans="1:30" ht="24" x14ac:dyDescent="0.2">
      <c r="A555" s="8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spans="1:30" ht="24" x14ac:dyDescent="0.2">
      <c r="A556" s="8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spans="1:30" ht="24" x14ac:dyDescent="0.2">
      <c r="A557" s="8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spans="1:30" ht="24" x14ac:dyDescent="0.2">
      <c r="A558" s="8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spans="1:30" ht="24" x14ac:dyDescent="0.2">
      <c r="A559" s="8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spans="1:30" ht="24" x14ac:dyDescent="0.2">
      <c r="A560" s="8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spans="1:30" ht="24" x14ac:dyDescent="0.2">
      <c r="A561" s="8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spans="1:30" ht="24" x14ac:dyDescent="0.2">
      <c r="A562" s="8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spans="1:30" ht="24" x14ac:dyDescent="0.2">
      <c r="A563" s="8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spans="1:30" ht="24" x14ac:dyDescent="0.2">
      <c r="A564" s="8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spans="1:30" ht="24" x14ac:dyDescent="0.2">
      <c r="A565" s="8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spans="1:30" ht="24" x14ac:dyDescent="0.2">
      <c r="A566" s="8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spans="1:30" ht="24" x14ac:dyDescent="0.2">
      <c r="A567" s="8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spans="1:30" ht="24" x14ac:dyDescent="0.2">
      <c r="A568" s="8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spans="1:30" ht="24" x14ac:dyDescent="0.2">
      <c r="A569" s="8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spans="1:30" ht="24" x14ac:dyDescent="0.2">
      <c r="A570" s="8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spans="1:30" ht="24" x14ac:dyDescent="0.2">
      <c r="A571" s="8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spans="1:30" ht="24" x14ac:dyDescent="0.2">
      <c r="A572" s="8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spans="1:30" ht="24" x14ac:dyDescent="0.2">
      <c r="A573" s="8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spans="1:30" ht="24" x14ac:dyDescent="0.2">
      <c r="A574" s="8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spans="1:30" ht="24" x14ac:dyDescent="0.2">
      <c r="A575" s="8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spans="1:30" ht="24" x14ac:dyDescent="0.2">
      <c r="A576" s="8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spans="1:30" ht="24" x14ac:dyDescent="0.2">
      <c r="A577" s="8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spans="1:30" ht="24" x14ac:dyDescent="0.2">
      <c r="A578" s="8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spans="1:30" ht="24" x14ac:dyDescent="0.2">
      <c r="A579" s="8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spans="1:30" ht="24" x14ac:dyDescent="0.2">
      <c r="A580" s="8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spans="1:30" ht="24" x14ac:dyDescent="0.2">
      <c r="A581" s="8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spans="1:30" ht="24" x14ac:dyDescent="0.2">
      <c r="A582" s="8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spans="1:30" ht="24" x14ac:dyDescent="0.2">
      <c r="A583" s="8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spans="1:30" ht="24" x14ac:dyDescent="0.2">
      <c r="A584" s="8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spans="1:30" ht="24" x14ac:dyDescent="0.2">
      <c r="A585" s="8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spans="1:30" ht="24" x14ac:dyDescent="0.2">
      <c r="A586" s="8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spans="1:30" ht="24" x14ac:dyDescent="0.2">
      <c r="A587" s="8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spans="1:30" ht="24" x14ac:dyDescent="0.2">
      <c r="A588" s="8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spans="1:30" ht="24" x14ac:dyDescent="0.2">
      <c r="A589" s="8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spans="1:30" ht="24" x14ac:dyDescent="0.2">
      <c r="A590" s="8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spans="1:30" ht="24" x14ac:dyDescent="0.2">
      <c r="A591" s="8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spans="1:30" ht="24" x14ac:dyDescent="0.2">
      <c r="A592" s="8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spans="1:30" ht="24" x14ac:dyDescent="0.2">
      <c r="A593" s="8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spans="1:30" ht="24" x14ac:dyDescent="0.2">
      <c r="A594" s="8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spans="1:30" ht="24" x14ac:dyDescent="0.2">
      <c r="A595" s="8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spans="1:30" ht="24" x14ac:dyDescent="0.2">
      <c r="A596" s="8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spans="1:30" ht="24" x14ac:dyDescent="0.2">
      <c r="A597" s="8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spans="1:30" ht="24" x14ac:dyDescent="0.2">
      <c r="A598" s="8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spans="1:30" ht="24" x14ac:dyDescent="0.2">
      <c r="A599" s="8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spans="1:30" ht="24" x14ac:dyDescent="0.2">
      <c r="A600" s="8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spans="1:30" ht="24" x14ac:dyDescent="0.2">
      <c r="A601" s="8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spans="1:30" ht="24" x14ac:dyDescent="0.2">
      <c r="A602" s="8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spans="1:30" ht="24" x14ac:dyDescent="0.2">
      <c r="A603" s="8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spans="1:30" ht="24" x14ac:dyDescent="0.2">
      <c r="A604" s="8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spans="1:30" ht="24" x14ac:dyDescent="0.2">
      <c r="A605" s="8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spans="1:30" ht="24" x14ac:dyDescent="0.2">
      <c r="A606" s="8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spans="1:30" ht="24" x14ac:dyDescent="0.2">
      <c r="A607" s="8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spans="1:30" ht="24" x14ac:dyDescent="0.2">
      <c r="A608" s="8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spans="1:30" ht="24" x14ac:dyDescent="0.2">
      <c r="A609" s="8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spans="1:30" ht="24" x14ac:dyDescent="0.2">
      <c r="A610" s="8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spans="1:30" ht="24" x14ac:dyDescent="0.2">
      <c r="A611" s="8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spans="1:30" ht="24" x14ac:dyDescent="0.2">
      <c r="A612" s="8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spans="1:30" ht="24" x14ac:dyDescent="0.2">
      <c r="A613" s="8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spans="1:30" ht="24" x14ac:dyDescent="0.2">
      <c r="A614" s="8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spans="1:30" ht="24" x14ac:dyDescent="0.2">
      <c r="A615" s="8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spans="1:30" ht="24" x14ac:dyDescent="0.2">
      <c r="A616" s="8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spans="1:30" ht="24" x14ac:dyDescent="0.2">
      <c r="A617" s="8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spans="1:30" ht="24" x14ac:dyDescent="0.2">
      <c r="A618" s="8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spans="1:30" ht="24" x14ac:dyDescent="0.2">
      <c r="A619" s="8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spans="1:30" ht="24" x14ac:dyDescent="0.2">
      <c r="A620" s="8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spans="1:30" ht="24" x14ac:dyDescent="0.2">
      <c r="A621" s="8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spans="1:30" ht="24" x14ac:dyDescent="0.2">
      <c r="A622" s="8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spans="1:30" ht="24" x14ac:dyDescent="0.2">
      <c r="A623" s="8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spans="1:30" ht="24" x14ac:dyDescent="0.2">
      <c r="A624" s="8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spans="1:30" ht="24" x14ac:dyDescent="0.2">
      <c r="A625" s="8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spans="1:30" ht="24" x14ac:dyDescent="0.2">
      <c r="A626" s="8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spans="1:30" ht="24" x14ac:dyDescent="0.2">
      <c r="A627" s="8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spans="1:30" ht="24" x14ac:dyDescent="0.2">
      <c r="A628" s="8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spans="1:30" ht="24" x14ac:dyDescent="0.2">
      <c r="A629" s="8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spans="1:30" ht="24" x14ac:dyDescent="0.2">
      <c r="A630" s="8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spans="1:30" ht="24" x14ac:dyDescent="0.2">
      <c r="A631" s="8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spans="1:30" ht="24" x14ac:dyDescent="0.2">
      <c r="A632" s="8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spans="1:30" ht="24" x14ac:dyDescent="0.2">
      <c r="A633" s="8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spans="1:30" ht="24" x14ac:dyDescent="0.2">
      <c r="A634" s="8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spans="1:30" ht="24" x14ac:dyDescent="0.2">
      <c r="A635" s="8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 spans="1:30" ht="24" x14ac:dyDescent="0.2">
      <c r="A636" s="8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 spans="1:30" ht="24" x14ac:dyDescent="0.2">
      <c r="A637" s="8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 spans="1:30" ht="24" x14ac:dyDescent="0.2">
      <c r="A638" s="8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 spans="1:30" ht="24" x14ac:dyDescent="0.2">
      <c r="A639" s="8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 spans="1:30" ht="24" x14ac:dyDescent="0.2">
      <c r="A640" s="8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 spans="1:30" ht="24" x14ac:dyDescent="0.2">
      <c r="A641" s="8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 spans="1:30" ht="24" x14ac:dyDescent="0.2">
      <c r="A642" s="8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 spans="1:30" ht="24" x14ac:dyDescent="0.2">
      <c r="A643" s="8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 spans="1:30" ht="24" x14ac:dyDescent="0.2">
      <c r="A644" s="8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 spans="1:30" ht="24" x14ac:dyDescent="0.2">
      <c r="A645" s="8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 spans="1:30" ht="24" x14ac:dyDescent="0.2">
      <c r="A646" s="8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 spans="1:30" ht="24" x14ac:dyDescent="0.2">
      <c r="A647" s="8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 spans="1:30" ht="24" x14ac:dyDescent="0.2">
      <c r="A648" s="8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 spans="1:30" ht="24" x14ac:dyDescent="0.2">
      <c r="A649" s="8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 spans="1:30" ht="24" x14ac:dyDescent="0.2">
      <c r="A650" s="8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 spans="1:30" ht="24" x14ac:dyDescent="0.2">
      <c r="A651" s="8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 spans="1:30" ht="24" x14ac:dyDescent="0.2">
      <c r="A652" s="8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 spans="1:30" ht="24" x14ac:dyDescent="0.2">
      <c r="A653" s="8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 spans="1:30" ht="24" x14ac:dyDescent="0.2">
      <c r="A654" s="8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 spans="1:30" ht="24" x14ac:dyDescent="0.2">
      <c r="A655" s="8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 spans="1:30" ht="24" x14ac:dyDescent="0.2">
      <c r="A656" s="8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 spans="1:30" ht="24" x14ac:dyDescent="0.2">
      <c r="A657" s="8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 spans="1:30" ht="24" x14ac:dyDescent="0.2">
      <c r="A658" s="8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 spans="1:30" ht="24" x14ac:dyDescent="0.2">
      <c r="A659" s="8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 spans="1:30" ht="24" x14ac:dyDescent="0.2">
      <c r="A660" s="8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 spans="1:30" ht="24" x14ac:dyDescent="0.2">
      <c r="A661" s="8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 spans="1:30" ht="24" x14ac:dyDescent="0.2">
      <c r="A662" s="8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 spans="1:30" ht="24" x14ac:dyDescent="0.2">
      <c r="A663" s="8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 spans="1:30" ht="24" x14ac:dyDescent="0.2">
      <c r="A664" s="8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 spans="1:30" ht="24" x14ac:dyDescent="0.2">
      <c r="A665" s="8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 spans="1:30" ht="24" x14ac:dyDescent="0.2">
      <c r="A666" s="8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 spans="1:30" ht="24" x14ac:dyDescent="0.2">
      <c r="A667" s="8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 spans="1:30" ht="24" x14ac:dyDescent="0.2">
      <c r="A668" s="8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 spans="1:30" ht="24" x14ac:dyDescent="0.2">
      <c r="A669" s="8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 spans="1:30" ht="24" x14ac:dyDescent="0.2">
      <c r="A670" s="8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 spans="1:30" ht="24" x14ac:dyDescent="0.2">
      <c r="A671" s="8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 spans="1:30" ht="24" x14ac:dyDescent="0.2">
      <c r="A672" s="8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 spans="1:30" ht="24" x14ac:dyDescent="0.2">
      <c r="A673" s="8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 spans="1:30" ht="24" x14ac:dyDescent="0.2">
      <c r="A674" s="8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 spans="1:30" ht="24" x14ac:dyDescent="0.2">
      <c r="A675" s="8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 spans="1:30" ht="24" x14ac:dyDescent="0.2">
      <c r="A676" s="8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 spans="1:30" ht="24" x14ac:dyDescent="0.2">
      <c r="A677" s="8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 spans="1:30" ht="24" x14ac:dyDescent="0.2">
      <c r="A678" s="8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 spans="1:30" ht="24" x14ac:dyDescent="0.2">
      <c r="A679" s="8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 spans="1:30" ht="24" x14ac:dyDescent="0.2">
      <c r="A680" s="8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 spans="1:30" ht="24" x14ac:dyDescent="0.2">
      <c r="A681" s="8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 spans="1:30" ht="24" x14ac:dyDescent="0.2">
      <c r="A682" s="8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 spans="1:30" ht="24" x14ac:dyDescent="0.2">
      <c r="A683" s="8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 spans="1:30" ht="24" x14ac:dyDescent="0.2">
      <c r="A684" s="8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 spans="1:30" ht="24" x14ac:dyDescent="0.2">
      <c r="A685" s="8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 spans="1:30" ht="24" x14ac:dyDescent="0.2">
      <c r="A686" s="8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 spans="1:30" ht="24" x14ac:dyDescent="0.2">
      <c r="A687" s="8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 spans="1:30" ht="24" x14ac:dyDescent="0.2">
      <c r="A688" s="8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 spans="1:30" ht="24" x14ac:dyDescent="0.2">
      <c r="A689" s="8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 spans="1:30" ht="24" x14ac:dyDescent="0.2">
      <c r="A690" s="8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 spans="1:30" ht="24" x14ac:dyDescent="0.2">
      <c r="A691" s="8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 spans="1:30" ht="24" x14ac:dyDescent="0.2">
      <c r="A692" s="8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 spans="1:30" ht="24" x14ac:dyDescent="0.2">
      <c r="A693" s="8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 spans="1:30" ht="24" x14ac:dyDescent="0.2">
      <c r="A694" s="8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 spans="1:30" ht="24" x14ac:dyDescent="0.2">
      <c r="A695" s="8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 spans="1:30" ht="24" x14ac:dyDescent="0.2">
      <c r="A696" s="8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 spans="1:30" ht="24" x14ac:dyDescent="0.2">
      <c r="A697" s="8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 spans="1:30" ht="24" x14ac:dyDescent="0.2">
      <c r="A698" s="8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 spans="1:30" ht="24" x14ac:dyDescent="0.2">
      <c r="A699" s="8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 spans="1:30" ht="24" x14ac:dyDescent="0.2">
      <c r="A700" s="8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 spans="1:30" ht="24" x14ac:dyDescent="0.2">
      <c r="A701" s="8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 spans="1:30" ht="24" x14ac:dyDescent="0.2">
      <c r="A702" s="8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 spans="1:30" ht="24" x14ac:dyDescent="0.2">
      <c r="A703" s="8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 spans="1:30" ht="24" x14ac:dyDescent="0.2">
      <c r="A704" s="8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 spans="1:30" ht="24" x14ac:dyDescent="0.2">
      <c r="A705" s="8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 spans="1:30" ht="24" x14ac:dyDescent="0.2">
      <c r="A706" s="8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 spans="1:30" ht="24" x14ac:dyDescent="0.2">
      <c r="A707" s="8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 spans="1:30" ht="24" x14ac:dyDescent="0.2">
      <c r="A708" s="8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 spans="1:30" ht="24" x14ac:dyDescent="0.2">
      <c r="A709" s="8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 spans="1:30" ht="24" x14ac:dyDescent="0.2">
      <c r="A710" s="8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 spans="1:30" ht="24" x14ac:dyDescent="0.2">
      <c r="A711" s="8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 spans="1:30" ht="24" x14ac:dyDescent="0.2">
      <c r="A712" s="8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 spans="1:30" ht="24" x14ac:dyDescent="0.2">
      <c r="A713" s="8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 spans="1:30" ht="24" x14ac:dyDescent="0.2">
      <c r="A714" s="8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 spans="1:30" ht="24" x14ac:dyDescent="0.2">
      <c r="A715" s="8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 spans="1:30" ht="24" x14ac:dyDescent="0.2">
      <c r="A716" s="8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 spans="1:30" ht="24" x14ac:dyDescent="0.2">
      <c r="A717" s="8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 spans="1:30" ht="24" x14ac:dyDescent="0.2">
      <c r="A718" s="8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 spans="1:30" ht="24" x14ac:dyDescent="0.2">
      <c r="A719" s="8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 spans="1:30" ht="24" x14ac:dyDescent="0.2">
      <c r="A720" s="8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 spans="1:30" ht="24" x14ac:dyDescent="0.2">
      <c r="A721" s="8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 spans="1:30" ht="24" x14ac:dyDescent="0.2">
      <c r="A722" s="8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 spans="1:30" ht="24" x14ac:dyDescent="0.2">
      <c r="A723" s="8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 spans="1:30" ht="24" x14ac:dyDescent="0.2">
      <c r="A724" s="8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 spans="1:30" ht="24" x14ac:dyDescent="0.2">
      <c r="A725" s="8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 spans="1:30" ht="24" x14ac:dyDescent="0.2">
      <c r="A726" s="8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 spans="1:30" ht="24" x14ac:dyDescent="0.2">
      <c r="A727" s="8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 spans="1:30" ht="24" x14ac:dyDescent="0.2">
      <c r="A728" s="8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 spans="1:30" ht="24" x14ac:dyDescent="0.2">
      <c r="A729" s="8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 spans="1:30" ht="24" x14ac:dyDescent="0.2">
      <c r="A730" s="8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 spans="1:30" ht="24" x14ac:dyDescent="0.2">
      <c r="A731" s="8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 spans="1:30" ht="24" x14ac:dyDescent="0.2">
      <c r="A732" s="8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 spans="1:30" ht="24" x14ac:dyDescent="0.2">
      <c r="A733" s="8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 spans="1:30" ht="24" x14ac:dyDescent="0.2">
      <c r="A734" s="8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 spans="1:30" ht="24" x14ac:dyDescent="0.2">
      <c r="A735" s="8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 spans="1:30" ht="24" x14ac:dyDescent="0.2">
      <c r="A736" s="8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 spans="1:30" ht="24" x14ac:dyDescent="0.2">
      <c r="A737" s="8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 spans="1:30" ht="24" x14ac:dyDescent="0.2">
      <c r="A738" s="8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 spans="1:30" ht="24" x14ac:dyDescent="0.2">
      <c r="A739" s="8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 spans="1:30" ht="24" x14ac:dyDescent="0.2">
      <c r="A740" s="8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 spans="1:30" ht="24" x14ac:dyDescent="0.2">
      <c r="A741" s="8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 spans="1:30" ht="24" x14ac:dyDescent="0.2">
      <c r="A742" s="8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 spans="1:30" ht="24" x14ac:dyDescent="0.2">
      <c r="A743" s="8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 spans="1:30" ht="24" x14ac:dyDescent="0.2">
      <c r="A744" s="8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 spans="1:30" ht="24" x14ac:dyDescent="0.2">
      <c r="A745" s="8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 spans="1:30" ht="24" x14ac:dyDescent="0.2">
      <c r="A746" s="8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 spans="1:30" ht="24" x14ac:dyDescent="0.2">
      <c r="A747" s="8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 spans="1:30" ht="24" x14ac:dyDescent="0.2">
      <c r="A748" s="8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 spans="1:30" ht="24" x14ac:dyDescent="0.2">
      <c r="A749" s="8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 spans="1:30" ht="24" x14ac:dyDescent="0.2">
      <c r="A750" s="8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 spans="1:30" ht="24" x14ac:dyDescent="0.2">
      <c r="A751" s="8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 spans="1:30" ht="24" x14ac:dyDescent="0.2">
      <c r="A752" s="8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 spans="1:30" ht="24" x14ac:dyDescent="0.2">
      <c r="A753" s="8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 spans="1:30" ht="24" x14ac:dyDescent="0.2">
      <c r="A754" s="8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 spans="1:30" ht="24" x14ac:dyDescent="0.2">
      <c r="A755" s="8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 spans="1:30" ht="24" x14ac:dyDescent="0.2">
      <c r="A756" s="8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 spans="1:30" ht="24" x14ac:dyDescent="0.2">
      <c r="A757" s="8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 spans="1:30" ht="24" x14ac:dyDescent="0.2">
      <c r="A758" s="8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 spans="1:30" ht="24" x14ac:dyDescent="0.2">
      <c r="A759" s="8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 spans="1:30" ht="24" x14ac:dyDescent="0.2">
      <c r="A760" s="8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 spans="1:30" ht="24" x14ac:dyDescent="0.2">
      <c r="A761" s="8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 spans="1:30" ht="24" x14ac:dyDescent="0.2">
      <c r="A762" s="8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 spans="1:30" ht="24" x14ac:dyDescent="0.2">
      <c r="A763" s="8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 spans="1:30" ht="24" x14ac:dyDescent="0.2">
      <c r="A764" s="8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 spans="1:30" ht="24" x14ac:dyDescent="0.2">
      <c r="A765" s="8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 spans="1:30" ht="24" x14ac:dyDescent="0.2">
      <c r="A766" s="8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 spans="1:30" ht="24" x14ac:dyDescent="0.2">
      <c r="A767" s="8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 spans="1:30" ht="24" x14ac:dyDescent="0.2">
      <c r="A768" s="8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 spans="1:30" ht="24" x14ac:dyDescent="0.2">
      <c r="A769" s="8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 spans="1:30" ht="24" x14ac:dyDescent="0.2">
      <c r="A770" s="8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 spans="1:30" ht="24" x14ac:dyDescent="0.2">
      <c r="A771" s="8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 spans="1:30" ht="24" x14ac:dyDescent="0.2">
      <c r="A772" s="8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 spans="1:30" ht="24" x14ac:dyDescent="0.2">
      <c r="A773" s="8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 spans="1:30" ht="24" x14ac:dyDescent="0.2">
      <c r="A774" s="8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 spans="1:30" ht="24" x14ac:dyDescent="0.2">
      <c r="A775" s="8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 spans="1:30" ht="24" x14ac:dyDescent="0.2">
      <c r="A776" s="8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 spans="1:30" ht="24" x14ac:dyDescent="0.2">
      <c r="A777" s="8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 spans="1:30" ht="24" x14ac:dyDescent="0.2">
      <c r="A778" s="8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 spans="1:30" ht="24" x14ac:dyDescent="0.2">
      <c r="A779" s="8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 spans="1:30" ht="24" x14ac:dyDescent="0.2">
      <c r="A780" s="8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 spans="1:30" ht="24" x14ac:dyDescent="0.2">
      <c r="A781" s="8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 spans="1:30" ht="24" x14ac:dyDescent="0.2">
      <c r="A782" s="8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 spans="1:30" ht="24" x14ac:dyDescent="0.2">
      <c r="A783" s="8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 spans="1:30" ht="24" x14ac:dyDescent="0.2">
      <c r="A784" s="8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 spans="1:30" ht="24" x14ac:dyDescent="0.2">
      <c r="A785" s="8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 spans="1:30" ht="24" x14ac:dyDescent="0.2">
      <c r="A786" s="8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 spans="1:30" ht="24" x14ac:dyDescent="0.2">
      <c r="A787" s="8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 spans="1:30" ht="24" x14ac:dyDescent="0.2">
      <c r="A788" s="8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 spans="1:30" ht="24" x14ac:dyDescent="0.2">
      <c r="A789" s="8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 spans="1:30" ht="24" x14ac:dyDescent="0.2">
      <c r="A790" s="8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 spans="1:30" ht="24" x14ac:dyDescent="0.2">
      <c r="A791" s="8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 spans="1:30" ht="24" x14ac:dyDescent="0.2">
      <c r="A792" s="8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 spans="1:30" ht="24" x14ac:dyDescent="0.2">
      <c r="A793" s="8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 spans="1:30" ht="24" x14ac:dyDescent="0.2">
      <c r="A794" s="8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 spans="1:30" ht="24" x14ac:dyDescent="0.2">
      <c r="A795" s="8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 spans="1:30" ht="24" x14ac:dyDescent="0.2">
      <c r="A796" s="8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 spans="1:30" ht="24" x14ac:dyDescent="0.2">
      <c r="A797" s="8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 spans="1:30" ht="24" x14ac:dyDescent="0.2">
      <c r="A798" s="8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 spans="1:30" ht="24" x14ac:dyDescent="0.2">
      <c r="A799" s="8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 spans="1:30" ht="24" x14ac:dyDescent="0.2">
      <c r="A800" s="8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 spans="1:30" ht="24" x14ac:dyDescent="0.2">
      <c r="A801" s="8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 spans="1:30" ht="24" x14ac:dyDescent="0.2">
      <c r="A802" s="8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 spans="1:30" ht="24" x14ac:dyDescent="0.2">
      <c r="A803" s="8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 spans="1:30" ht="24" x14ac:dyDescent="0.2">
      <c r="A804" s="8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 spans="1:30" ht="24" x14ac:dyDescent="0.2">
      <c r="A805" s="8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 spans="1:30" ht="24" x14ac:dyDescent="0.2">
      <c r="A806" s="8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 spans="1:30" ht="24" x14ac:dyDescent="0.2">
      <c r="A807" s="8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 spans="1:30" ht="24" x14ac:dyDescent="0.2">
      <c r="A808" s="8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 spans="1:30" ht="24" x14ac:dyDescent="0.2">
      <c r="A809" s="8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 spans="1:30" ht="24" x14ac:dyDescent="0.2">
      <c r="A810" s="8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 spans="1:30" ht="24" x14ac:dyDescent="0.2">
      <c r="A811" s="8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 spans="1:30" ht="24" x14ac:dyDescent="0.2">
      <c r="A812" s="8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 spans="1:30" ht="24" x14ac:dyDescent="0.2">
      <c r="A813" s="8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 spans="1:30" ht="24" x14ac:dyDescent="0.2">
      <c r="A814" s="8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 spans="1:30" ht="24" x14ac:dyDescent="0.2">
      <c r="A815" s="8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 spans="1:30" ht="24" x14ac:dyDescent="0.2">
      <c r="A816" s="8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 spans="1:30" ht="24" x14ac:dyDescent="0.2">
      <c r="A817" s="8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 spans="1:30" ht="24" x14ac:dyDescent="0.2">
      <c r="A818" s="8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 spans="1:30" ht="24" x14ac:dyDescent="0.2">
      <c r="A819" s="8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 spans="1:30" ht="24" x14ac:dyDescent="0.2">
      <c r="A820" s="8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 spans="1:30" ht="24" x14ac:dyDescent="0.2">
      <c r="A821" s="8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 spans="1:30" ht="24" x14ac:dyDescent="0.2">
      <c r="A822" s="8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 spans="1:30" ht="24" x14ac:dyDescent="0.2">
      <c r="A823" s="8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 spans="1:30" ht="24" x14ac:dyDescent="0.2">
      <c r="A824" s="8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 spans="1:30" ht="24" x14ac:dyDescent="0.2">
      <c r="A825" s="8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 spans="1:30" ht="24" x14ac:dyDescent="0.2">
      <c r="A826" s="8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 spans="1:30" ht="24" x14ac:dyDescent="0.2">
      <c r="A827" s="8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 spans="1:30" ht="24" x14ac:dyDescent="0.2">
      <c r="A828" s="8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 spans="1:30" ht="24" x14ac:dyDescent="0.2">
      <c r="A829" s="8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 spans="1:30" ht="24" x14ac:dyDescent="0.2">
      <c r="A830" s="8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 spans="1:30" ht="24" x14ac:dyDescent="0.2">
      <c r="A831" s="8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 spans="1:30" ht="24" x14ac:dyDescent="0.2">
      <c r="A832" s="8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 spans="1:30" ht="24" x14ac:dyDescent="0.2">
      <c r="A833" s="8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 spans="1:30" ht="24" x14ac:dyDescent="0.2">
      <c r="A834" s="8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 spans="1:30" ht="24" x14ac:dyDescent="0.2">
      <c r="A835" s="8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 spans="1:30" ht="24" x14ac:dyDescent="0.2">
      <c r="A836" s="8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 spans="1:30" ht="24" x14ac:dyDescent="0.2">
      <c r="A837" s="8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 spans="1:30" ht="24" x14ac:dyDescent="0.2">
      <c r="A838" s="8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 spans="1:30" ht="24" x14ac:dyDescent="0.2">
      <c r="A839" s="8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 spans="1:30" ht="24" x14ac:dyDescent="0.2">
      <c r="A840" s="8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 spans="1:30" ht="24" x14ac:dyDescent="0.2">
      <c r="A841" s="8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 spans="1:30" ht="24" x14ac:dyDescent="0.2">
      <c r="A842" s="8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 spans="1:30" ht="24" x14ac:dyDescent="0.2">
      <c r="A843" s="8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 spans="1:30" ht="24" x14ac:dyDescent="0.2">
      <c r="A844" s="8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 spans="1:30" ht="24" x14ac:dyDescent="0.2">
      <c r="A845" s="8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 spans="1:30" ht="24" x14ac:dyDescent="0.2">
      <c r="A846" s="8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 spans="1:30" ht="24" x14ac:dyDescent="0.2">
      <c r="A847" s="8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 spans="1:30" ht="24" x14ac:dyDescent="0.2">
      <c r="A848" s="8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 spans="1:30" ht="24" x14ac:dyDescent="0.2">
      <c r="A849" s="8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 spans="1:30" ht="24" x14ac:dyDescent="0.2">
      <c r="A850" s="8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 spans="1:30" ht="24" x14ac:dyDescent="0.2">
      <c r="A851" s="8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 spans="1:30" ht="24" x14ac:dyDescent="0.2">
      <c r="A852" s="8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 spans="1:30" ht="24" x14ac:dyDescent="0.2">
      <c r="A853" s="8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 spans="1:30" ht="24" x14ac:dyDescent="0.2">
      <c r="A854" s="8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 spans="1:30" ht="24" x14ac:dyDescent="0.2">
      <c r="A855" s="8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 spans="1:30" ht="24" x14ac:dyDescent="0.2">
      <c r="A856" s="8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 spans="1:30" ht="24" x14ac:dyDescent="0.2">
      <c r="A857" s="8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 spans="1:30" ht="24" x14ac:dyDescent="0.2">
      <c r="A858" s="8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 spans="1:30" ht="24" x14ac:dyDescent="0.2">
      <c r="A859" s="8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 spans="1:30" ht="24" x14ac:dyDescent="0.2">
      <c r="A860" s="8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 spans="1:30" ht="24" x14ac:dyDescent="0.2">
      <c r="A861" s="8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 spans="1:30" ht="24" x14ac:dyDescent="0.2">
      <c r="A862" s="8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 spans="1:30" ht="24" x14ac:dyDescent="0.2">
      <c r="A863" s="8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 spans="1:30" ht="24" x14ac:dyDescent="0.2">
      <c r="A864" s="8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 spans="1:30" ht="24" x14ac:dyDescent="0.2">
      <c r="A865" s="8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 spans="1:30" ht="24" x14ac:dyDescent="0.2">
      <c r="A866" s="8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 spans="1:30" ht="24" x14ac:dyDescent="0.2">
      <c r="A867" s="8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 spans="1:30" ht="24" x14ac:dyDescent="0.2">
      <c r="A868" s="8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 spans="1:30" ht="24" x14ac:dyDescent="0.2">
      <c r="A869" s="8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 spans="1:30" ht="24" x14ac:dyDescent="0.2">
      <c r="A870" s="8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 spans="1:30" ht="24" x14ac:dyDescent="0.2">
      <c r="A871" s="8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 spans="1:30" ht="24" x14ac:dyDescent="0.2">
      <c r="A872" s="8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 spans="1:30" ht="24" x14ac:dyDescent="0.2">
      <c r="A873" s="8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 spans="1:30" ht="24" x14ac:dyDescent="0.2">
      <c r="A874" s="8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 spans="1:30" ht="24" x14ac:dyDescent="0.2">
      <c r="A875" s="8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 spans="1:30" ht="24" x14ac:dyDescent="0.2">
      <c r="A876" s="8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 spans="1:30" ht="24" x14ac:dyDescent="0.2">
      <c r="A877" s="8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 spans="1:30" ht="24" x14ac:dyDescent="0.2">
      <c r="A878" s="8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 spans="1:30" ht="24" x14ac:dyDescent="0.2">
      <c r="A879" s="8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 spans="1:30" ht="24" x14ac:dyDescent="0.2">
      <c r="A880" s="8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 spans="1:30" ht="24" x14ac:dyDescent="0.2">
      <c r="A881" s="8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 spans="1:30" ht="24" x14ac:dyDescent="0.2">
      <c r="A882" s="8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 spans="1:30" ht="24" x14ac:dyDescent="0.2">
      <c r="A883" s="8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 spans="1:30" ht="24" x14ac:dyDescent="0.2">
      <c r="A884" s="8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 spans="1:30" ht="24" x14ac:dyDescent="0.2">
      <c r="A885" s="8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 spans="1:30" ht="24" x14ac:dyDescent="0.2">
      <c r="A886" s="8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 spans="1:30" ht="24" x14ac:dyDescent="0.2">
      <c r="A887" s="8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 spans="1:30" ht="24" x14ac:dyDescent="0.2">
      <c r="A888" s="8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 spans="1:30" ht="24" x14ac:dyDescent="0.2">
      <c r="A889" s="8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 spans="1:30" ht="24" x14ac:dyDescent="0.2">
      <c r="A890" s="8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 spans="1:30" ht="24" x14ac:dyDescent="0.2">
      <c r="A891" s="8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 spans="1:30" ht="24" x14ac:dyDescent="0.2">
      <c r="A892" s="8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 spans="1:30" ht="24" x14ac:dyDescent="0.2">
      <c r="A893" s="8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 spans="1:30" ht="24" x14ac:dyDescent="0.2">
      <c r="A894" s="8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 spans="1:30" ht="24" x14ac:dyDescent="0.2">
      <c r="A895" s="8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 spans="1:30" ht="24" x14ac:dyDescent="0.2">
      <c r="A896" s="8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 spans="1:30" ht="24" x14ac:dyDescent="0.2">
      <c r="A897" s="8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 spans="1:30" ht="24" x14ac:dyDescent="0.2">
      <c r="A898" s="8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 spans="1:30" ht="24" x14ac:dyDescent="0.2">
      <c r="A899" s="8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 spans="1:30" ht="24" x14ac:dyDescent="0.2">
      <c r="A900" s="8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 spans="1:30" ht="24" x14ac:dyDescent="0.2">
      <c r="A901" s="8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 spans="1:30" ht="24" x14ac:dyDescent="0.2">
      <c r="A902" s="8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 spans="1:30" ht="24" x14ac:dyDescent="0.2">
      <c r="A903" s="8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 spans="1:30" ht="24" x14ac:dyDescent="0.2">
      <c r="A904" s="8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 spans="1:30" ht="24" x14ac:dyDescent="0.2">
      <c r="A905" s="8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 spans="1:30" ht="24" x14ac:dyDescent="0.2">
      <c r="A906" s="8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 spans="1:30" ht="24" x14ac:dyDescent="0.2">
      <c r="A907" s="8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 spans="1:30" ht="24" x14ac:dyDescent="0.2">
      <c r="A908" s="8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 spans="1:30" ht="24" x14ac:dyDescent="0.2">
      <c r="A909" s="8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 spans="1:30" ht="24" x14ac:dyDescent="0.2">
      <c r="A910" s="8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 spans="1:30" ht="24" x14ac:dyDescent="0.2">
      <c r="A911" s="8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 spans="1:30" ht="24" x14ac:dyDescent="0.2">
      <c r="A912" s="8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 spans="1:30" ht="24" x14ac:dyDescent="0.2">
      <c r="A913" s="8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 spans="1:30" ht="24" x14ac:dyDescent="0.2">
      <c r="A914" s="8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 spans="1:30" ht="24" x14ac:dyDescent="0.2">
      <c r="A915" s="8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 spans="1:30" ht="24" x14ac:dyDescent="0.2">
      <c r="A916" s="8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 spans="1:30" ht="24" x14ac:dyDescent="0.2">
      <c r="A917" s="8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 spans="1:30" ht="24" x14ac:dyDescent="0.2">
      <c r="A918" s="8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 spans="1:30" ht="24" x14ac:dyDescent="0.2">
      <c r="A919" s="8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 spans="1:30" ht="24" x14ac:dyDescent="0.2">
      <c r="A920" s="8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 spans="1:30" ht="24" x14ac:dyDescent="0.2">
      <c r="A921" s="8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 spans="1:30" ht="24" x14ac:dyDescent="0.2">
      <c r="A922" s="8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 spans="1:30" ht="24" x14ac:dyDescent="0.2">
      <c r="A923" s="8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 spans="1:30" ht="24" x14ac:dyDescent="0.2">
      <c r="A924" s="8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 spans="1:30" ht="24" x14ac:dyDescent="0.2">
      <c r="A925" s="8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 spans="1:30" ht="24" x14ac:dyDescent="0.2">
      <c r="A926" s="8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 spans="1:30" ht="24" x14ac:dyDescent="0.2">
      <c r="A927" s="8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 spans="1:30" ht="24" x14ac:dyDescent="0.2">
      <c r="A928" s="8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 spans="1:30" ht="24" x14ac:dyDescent="0.2">
      <c r="A929" s="8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 spans="1:30" ht="24" x14ac:dyDescent="0.2">
      <c r="A930" s="8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 spans="1:30" ht="24" x14ac:dyDescent="0.2">
      <c r="A931" s="8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 spans="1:30" ht="24" x14ac:dyDescent="0.2">
      <c r="A932" s="8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 spans="1:30" ht="24" x14ac:dyDescent="0.2">
      <c r="A933" s="8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 spans="1:30" ht="24" x14ac:dyDescent="0.2">
      <c r="A934" s="8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 spans="1:30" ht="24" x14ac:dyDescent="0.2">
      <c r="A935" s="8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 spans="1:30" ht="24" x14ac:dyDescent="0.2">
      <c r="A936" s="8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 spans="1:30" ht="24" x14ac:dyDescent="0.2">
      <c r="A937" s="8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 spans="1:30" ht="24" x14ac:dyDescent="0.2">
      <c r="A938" s="8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 spans="1:30" ht="24" x14ac:dyDescent="0.2">
      <c r="A939" s="8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 spans="1:30" ht="24" x14ac:dyDescent="0.2">
      <c r="A940" s="8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 spans="1:30" ht="24" x14ac:dyDescent="0.2">
      <c r="A941" s="8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 spans="1:30" ht="24" x14ac:dyDescent="0.2">
      <c r="A942" s="8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 spans="1:30" ht="24" x14ac:dyDescent="0.2">
      <c r="A943" s="8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 spans="1:30" ht="24" x14ac:dyDescent="0.2">
      <c r="A944" s="8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 spans="1:30" ht="24" x14ac:dyDescent="0.2">
      <c r="A945" s="8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 spans="1:30" ht="24" x14ac:dyDescent="0.2">
      <c r="A946" s="8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 spans="1:30" ht="24" x14ac:dyDescent="0.2">
      <c r="A947" s="8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 spans="1:30" ht="24" x14ac:dyDescent="0.2">
      <c r="A948" s="8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 spans="1:30" ht="24" x14ac:dyDescent="0.2">
      <c r="A949" s="8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 spans="1:30" ht="24" x14ac:dyDescent="0.2">
      <c r="A950" s="8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 spans="1:30" ht="24" x14ac:dyDescent="0.2">
      <c r="A951" s="8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 spans="1:30" ht="24" x14ac:dyDescent="0.2">
      <c r="A952" s="8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 spans="1:30" ht="24" x14ac:dyDescent="0.2">
      <c r="A953" s="8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 spans="1:30" ht="24" x14ac:dyDescent="0.2">
      <c r="A954" s="8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 spans="1:30" ht="24" x14ac:dyDescent="0.2">
      <c r="A955" s="8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 spans="1:30" ht="24" x14ac:dyDescent="0.2">
      <c r="A956" s="8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 spans="1:30" ht="24" x14ac:dyDescent="0.2">
      <c r="A957" s="8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 spans="1:30" ht="24" x14ac:dyDescent="0.2">
      <c r="A958" s="8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 spans="1:30" ht="24" x14ac:dyDescent="0.2">
      <c r="A959" s="8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 spans="1:30" ht="24" x14ac:dyDescent="0.2">
      <c r="A960" s="8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 spans="1:30" ht="24" x14ac:dyDescent="0.2">
      <c r="A961" s="8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 spans="1:30" ht="24" x14ac:dyDescent="0.2">
      <c r="A962" s="8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 spans="1:30" ht="24" x14ac:dyDescent="0.2">
      <c r="A963" s="8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 spans="1:30" ht="24" x14ac:dyDescent="0.2">
      <c r="A964" s="8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 spans="1:30" ht="24" x14ac:dyDescent="0.2">
      <c r="A965" s="8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 spans="1:30" ht="24" x14ac:dyDescent="0.2">
      <c r="A966" s="8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 spans="1:30" ht="24" x14ac:dyDescent="0.2">
      <c r="A967" s="8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 spans="1:30" ht="24" x14ac:dyDescent="0.2">
      <c r="A968" s="8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 spans="1:30" ht="24" x14ac:dyDescent="0.2">
      <c r="A969" s="8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 spans="1:30" ht="24" x14ac:dyDescent="0.2">
      <c r="A970" s="8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 spans="1:30" ht="24" x14ac:dyDescent="0.2">
      <c r="A971" s="8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 spans="1:30" ht="24" x14ac:dyDescent="0.2">
      <c r="A972" s="8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 spans="1:30" ht="24" x14ac:dyDescent="0.2">
      <c r="A973" s="8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 spans="1:30" ht="24" x14ac:dyDescent="0.2">
      <c r="A974" s="8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 spans="1:30" ht="24" x14ac:dyDescent="0.2">
      <c r="A975" s="8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 spans="1:30" ht="24" x14ac:dyDescent="0.2">
      <c r="A976" s="8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 spans="1:30" ht="24" x14ac:dyDescent="0.2">
      <c r="A977" s="8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 spans="1:30" ht="24" x14ac:dyDescent="0.2">
      <c r="A978" s="8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 spans="1:30" ht="24" x14ac:dyDescent="0.2">
      <c r="A979" s="8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 spans="1:30" ht="24" x14ac:dyDescent="0.2">
      <c r="A980" s="8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 spans="1:30" ht="24" x14ac:dyDescent="0.2">
      <c r="A981" s="8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 spans="1:30" ht="24" x14ac:dyDescent="0.2">
      <c r="A982" s="8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 spans="1:30" ht="24" x14ac:dyDescent="0.2">
      <c r="A983" s="8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 spans="1:30" ht="24" x14ac:dyDescent="0.2">
      <c r="A984" s="8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 spans="1:30" ht="24" x14ac:dyDescent="0.2">
      <c r="A985" s="8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 spans="1:30" ht="24" x14ac:dyDescent="0.2">
      <c r="A986" s="8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 spans="1:30" ht="24" x14ac:dyDescent="0.2">
      <c r="A987" s="8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 spans="1:30" ht="24" x14ac:dyDescent="0.2">
      <c r="A988" s="8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 spans="1:30" ht="24" x14ac:dyDescent="0.2">
      <c r="A989" s="8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 spans="1:30" ht="24" x14ac:dyDescent="0.2">
      <c r="A990" s="8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 spans="1:30" ht="24" x14ac:dyDescent="0.2">
      <c r="A991" s="8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 spans="1:30" ht="24" x14ac:dyDescent="0.2">
      <c r="A992" s="8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 spans="1:30" ht="24" x14ac:dyDescent="0.2">
      <c r="A993" s="8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 spans="1:30" ht="24" x14ac:dyDescent="0.2">
      <c r="A994" s="8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 spans="1:30" ht="24" x14ac:dyDescent="0.2">
      <c r="A995" s="8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 spans="1:30" ht="24" x14ac:dyDescent="0.2">
      <c r="A996" s="8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 spans="1:30" ht="24" x14ac:dyDescent="0.2">
      <c r="A997" s="8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 spans="1:30" ht="24" x14ac:dyDescent="0.2">
      <c r="A998" s="8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 spans="1:30" ht="24" x14ac:dyDescent="0.2">
      <c r="A999" s="8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 spans="1:30" ht="24" x14ac:dyDescent="0.2">
      <c r="A1000" s="8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 spans="1:30" ht="24" x14ac:dyDescent="0.2">
      <c r="A1001" s="8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</row>
    <row r="1002" spans="1:30" ht="24" x14ac:dyDescent="0.2">
      <c r="A1002" s="8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</row>
    <row r="1003" spans="1:30" ht="24" x14ac:dyDescent="0.2">
      <c r="A1003" s="8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</row>
    <row r="1004" spans="1:30" ht="24" x14ac:dyDescent="0.2">
      <c r="A1004" s="8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</row>
    <row r="1005" spans="1:30" ht="24" x14ac:dyDescent="0.2">
      <c r="A1005" s="8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</row>
    <row r="1006" spans="1:30" ht="24" x14ac:dyDescent="0.2">
      <c r="A1006" s="8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</row>
    <row r="1007" spans="1:30" ht="24" x14ac:dyDescent="0.2">
      <c r="A1007" s="8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</row>
    <row r="1008" spans="1:30" ht="24" x14ac:dyDescent="0.2">
      <c r="A1008" s="8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</row>
    <row r="1009" spans="1:30" ht="24" x14ac:dyDescent="0.2">
      <c r="A1009" s="8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</row>
    <row r="1010" spans="1:30" ht="24" x14ac:dyDescent="0.2">
      <c r="A1010" s="8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</row>
    <row r="1011" spans="1:30" ht="24" x14ac:dyDescent="0.2">
      <c r="A1011" s="8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</row>
    <row r="1012" spans="1:30" ht="24" x14ac:dyDescent="0.2">
      <c r="A1012" s="8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</row>
    <row r="1013" spans="1:30" ht="24" x14ac:dyDescent="0.2">
      <c r="A1013" s="8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  <c r="AD1013" s="9"/>
    </row>
    <row r="1014" spans="1:30" ht="24" x14ac:dyDescent="0.2">
      <c r="A1014" s="8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  <c r="AD1014" s="9"/>
    </row>
    <row r="1015" spans="1:30" ht="24" x14ac:dyDescent="0.2">
      <c r="A1015" s="8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  <c r="AB1015" s="9"/>
      <c r="AC1015" s="9"/>
      <c r="AD1015" s="9"/>
    </row>
    <row r="1016" spans="1:30" ht="24" x14ac:dyDescent="0.2">
      <c r="A1016" s="8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  <c r="AB1016" s="9"/>
      <c r="AC1016" s="9"/>
      <c r="AD1016" s="9"/>
    </row>
  </sheetData>
  <mergeCells count="24">
    <mergeCell ref="G31:J31"/>
    <mergeCell ref="C33:C34"/>
    <mergeCell ref="D33:G33"/>
    <mergeCell ref="H33:J33"/>
    <mergeCell ref="K33:L33"/>
    <mergeCell ref="B35:B47"/>
    <mergeCell ref="C25:E25"/>
    <mergeCell ref="G25:J25"/>
    <mergeCell ref="G26:J26"/>
    <mergeCell ref="C28:J28"/>
    <mergeCell ref="C29:E29"/>
    <mergeCell ref="C30:E30"/>
    <mergeCell ref="C21:E21"/>
    <mergeCell ref="G21:J21"/>
    <mergeCell ref="C22:E22"/>
    <mergeCell ref="G22:J22"/>
    <mergeCell ref="C23:E23"/>
    <mergeCell ref="C24:E24"/>
    <mergeCell ref="C3:J3"/>
    <mergeCell ref="C5:E5"/>
    <mergeCell ref="C17:J17"/>
    <mergeCell ref="C18:E18"/>
    <mergeCell ref="G18:J18"/>
    <mergeCell ref="C20:J20"/>
  </mergeCells>
  <conditionalFormatting sqref="D35:G47">
    <cfRule type="colorScale" priority="1">
      <colorScale>
        <cfvo type="min"/>
        <cfvo type="max"/>
        <color rgb="FFD9EAD3"/>
        <color rgb="FFF4CCC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31</vt:i4>
      </vt:variant>
    </vt:vector>
  </HeadingPairs>
  <TitlesOfParts>
    <vt:vector size="37" baseType="lpstr">
      <vt:lpstr>Inputs</vt:lpstr>
      <vt:lpstr>Calculations</vt:lpstr>
      <vt:lpstr>Sensitivity</vt:lpstr>
      <vt:lpstr>Outputs</vt:lpstr>
      <vt:lpstr>Payables</vt:lpstr>
      <vt:lpstr>Recievables</vt:lpstr>
      <vt:lpstr>call_price</vt:lpstr>
      <vt:lpstr>call_strike</vt:lpstr>
      <vt:lpstr>contract_notional_value_payable</vt:lpstr>
      <vt:lpstr>current_spot_price_payable</vt:lpstr>
      <vt:lpstr>F0_in</vt:lpstr>
      <vt:lpstr>FC_AMT</vt:lpstr>
      <vt:lpstr>for_GBPUSD</vt:lpstr>
      <vt:lpstr>forward_price_payable</vt:lpstr>
      <vt:lpstr>Forward_USD</vt:lpstr>
      <vt:lpstr>future_spot_price_payable</vt:lpstr>
      <vt:lpstr>fv_put_outlay</vt:lpstr>
      <vt:lpstr>gbpusd_1y_scenario</vt:lpstr>
      <vt:lpstr>hedge_no</vt:lpstr>
      <vt:lpstr>K_CALL</vt:lpstr>
      <vt:lpstr>K_PUT</vt:lpstr>
      <vt:lpstr>Parity_Diff</vt:lpstr>
      <vt:lpstr>PREM_CALL</vt:lpstr>
      <vt:lpstr>PREM_PUT</vt:lpstr>
      <vt:lpstr>put_price</vt:lpstr>
      <vt:lpstr>PV_FC</vt:lpstr>
      <vt:lpstr>R_FC</vt:lpstr>
      <vt:lpstr>R_USD</vt:lpstr>
      <vt:lpstr>rate_uk_1y_payable</vt:lpstr>
      <vt:lpstr>rate_us_1y_payable</vt:lpstr>
      <vt:lpstr>recievable</vt:lpstr>
      <vt:lpstr>S0_in</vt:lpstr>
      <vt:lpstr>T_DAYS</vt:lpstr>
      <vt:lpstr>T_yrs</vt:lpstr>
      <vt:lpstr>USD_mm_proceeds</vt:lpstr>
      <vt:lpstr>USD_now</vt:lpstr>
      <vt:lpstr>x_put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Kala'i Vickers</dc:creator>
  <cp:lastModifiedBy>Kala'i Vickers</cp:lastModifiedBy>
  <dcterms:created xsi:type="dcterms:W3CDTF">2026-04-10T22:24:36Z</dcterms:created>
  <dcterms:modified xsi:type="dcterms:W3CDTF">2026-04-19T02:18:56Z</dcterms:modified>
</cp:coreProperties>
</file>